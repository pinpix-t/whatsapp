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b2" sheetId="2" r:id="rId5"/>
    <sheet state="visible" name="Tab3" sheetId="3" r:id="rId6"/>
  </sheets>
  <definedNames/>
  <calcPr/>
</workbook>
</file>

<file path=xl/sharedStrings.xml><?xml version="1.0" encoding="utf-8"?>
<sst xmlns="http://schemas.openxmlformats.org/spreadsheetml/2006/main" count="345" uniqueCount="46">
  <si>
    <t>MPN</t>
  </si>
  <si>
    <t>UK_Calendar_AllCoupon</t>
  </si>
  <si>
    <t>Cal_Wall_6x8</t>
  </si>
  <si>
    <t>Wall Calendar_7Page</t>
  </si>
  <si>
    <t>A5</t>
  </si>
  <si>
    <t>QTY</t>
  </si>
  <si>
    <t>Discount</t>
  </si>
  <si>
    <t>RRP</t>
  </si>
  <si>
    <t>Unit Price</t>
  </si>
  <si>
    <t xml:space="preserve">Shipping </t>
  </si>
  <si>
    <t>Cal_Wall_9x12</t>
  </si>
  <si>
    <t>A4</t>
  </si>
  <si>
    <t>Cal_Wall_12x17</t>
  </si>
  <si>
    <t>A3</t>
  </si>
  <si>
    <t>Cal_WallSS_6x8</t>
  </si>
  <si>
    <t>Wall Calendar_13Page</t>
  </si>
  <si>
    <t>Cal_WallSS_8x12</t>
  </si>
  <si>
    <t xml:space="preserve">A4 </t>
  </si>
  <si>
    <t>Cal_WallSS_12x17</t>
  </si>
  <si>
    <t>Cal_Double_8x6</t>
  </si>
  <si>
    <t xml:space="preserve">Double Calendar </t>
  </si>
  <si>
    <t>A4 (21x30cm)</t>
  </si>
  <si>
    <t>Cal_Double_12x8</t>
  </si>
  <si>
    <t>A3 (30x42cm)</t>
  </si>
  <si>
    <t>Cal_Double_17x12</t>
  </si>
  <si>
    <t>A2 (42x60cm)</t>
  </si>
  <si>
    <t>Cal_Kitchen_5x12</t>
  </si>
  <si>
    <t xml:space="preserve">Kitchen Calendar </t>
  </si>
  <si>
    <t>10 x 30cm</t>
  </si>
  <si>
    <t>Cal_Kitchen_5x17</t>
  </si>
  <si>
    <t>13 X 42cm</t>
  </si>
  <si>
    <t>ReferenceCode</t>
  </si>
  <si>
    <t>QtyUpTo</t>
  </si>
  <si>
    <t>Price</t>
  </si>
  <si>
    <t>percentDiscount</t>
  </si>
  <si>
    <t>49.97%</t>
  </si>
  <si>
    <t>50.00%</t>
  </si>
  <si>
    <t>59.99%</t>
  </si>
  <si>
    <t>54.94%</t>
  </si>
  <si>
    <t>56.63%</t>
  </si>
  <si>
    <t>65.99%</t>
  </si>
  <si>
    <t>57.99%</t>
  </si>
  <si>
    <t>56.25%</t>
  </si>
  <si>
    <t>61.11%</t>
  </si>
  <si>
    <t>72.51%</t>
  </si>
  <si>
    <t>52.26%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</si>
</sst>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12.0"/>
      <color rgb="FF000000"/>
      <name val="Arial"/>
    </font>
    <font>
      <b/>
      <sz val="12.0"/>
      <color rgb="FF000000"/>
      <name val="Aptos Narrow"/>
    </font>
    <font>
      <color rgb="FF000000"/>
      <name val="Aptos Narrow"/>
      <scheme val="minor"/>
    </font>
    <font>
      <sz val="11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0.0"/>
      <color rgb="FF000000"/>
      <name val="Times New Roman"/>
    </font>
    <font>
      <sz val="11.0"/>
      <color rgb="FF000000"/>
      <name val="Aptos Narrow"/>
    </font>
    <font>
      <sz val="11.0"/>
      <color theme="1"/>
      <name val="Aptos Narrow"/>
    </font>
    <font>
      <sz val="11.0"/>
      <color rgb="FF000000"/>
      <name val="Arial"/>
    </font>
    <font>
      <b/>
      <sz val="11.0"/>
      <color rgb="FF000000"/>
      <name val="Aptos Narrow"/>
    </font>
    <font>
      <sz val="11.0"/>
      <color rgb="FFFF0000"/>
      <name val="Calibri"/>
    </font>
    <font>
      <sz val="11.0"/>
      <color rgb="FFFF0000"/>
      <name val="Arial"/>
    </font>
    <font>
      <b/>
      <sz val="13.0"/>
      <color rgb="FF000000"/>
      <name val="Calibri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right" readingOrder="0" vertic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4" numFmtId="10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0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 vertical="center"/>
    </xf>
    <xf borderId="0" fillId="0" fontId="8" numFmtId="2" xfId="0" applyAlignment="1" applyFont="1" applyNumberFormat="1">
      <alignment horizontal="center"/>
    </xf>
    <xf borderId="0" fillId="0" fontId="11" numFmtId="0" xfId="0" applyFont="1"/>
    <xf borderId="0" fillId="0" fontId="12" numFmtId="10" xfId="0" applyAlignment="1" applyFont="1" applyNumberFormat="1">
      <alignment horizontal="center" vertical="center"/>
    </xf>
    <xf borderId="0" fillId="0" fontId="13" numFmtId="2" xfId="0" applyAlignment="1" applyFont="1" applyNumberFormat="1">
      <alignment horizontal="center" readingOrder="0"/>
    </xf>
    <xf borderId="0" fillId="0" fontId="7" numFmtId="0" xfId="0" applyFont="1"/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quotePrefix="1"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4.38"/>
    <col customWidth="1" min="3" max="4" width="18.13"/>
    <col customWidth="1" min="5" max="5" width="14.88"/>
    <col customWidth="1" min="6" max="6" width="18.75"/>
    <col customWidth="1" min="7" max="18" width="8.6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3</v>
      </c>
      <c r="C2" s="3"/>
      <c r="D2" s="3"/>
      <c r="E2" s="3"/>
    </row>
    <row r="3">
      <c r="A3" s="4" t="s">
        <v>2</v>
      </c>
      <c r="B3" s="6" t="s">
        <v>4</v>
      </c>
      <c r="C3" s="3"/>
      <c r="D3" s="3"/>
      <c r="E3" s="3"/>
    </row>
    <row r="4">
      <c r="A4" s="4" t="s">
        <v>2</v>
      </c>
      <c r="B4" s="7" t="s">
        <v>5</v>
      </c>
      <c r="C4" s="8" t="s">
        <v>6</v>
      </c>
      <c r="D4" s="9" t="s">
        <v>7</v>
      </c>
      <c r="E4" s="10" t="s">
        <v>8</v>
      </c>
      <c r="F4" s="11" t="s">
        <v>9</v>
      </c>
    </row>
    <row r="5">
      <c r="A5" s="4" t="s">
        <v>2</v>
      </c>
      <c r="B5" s="12">
        <v>1.0</v>
      </c>
      <c r="C5" s="13">
        <f>1-E5/D5</f>
        <v>0.5993730408</v>
      </c>
      <c r="D5" s="14">
        <v>15.95</v>
      </c>
      <c r="E5" s="15">
        <v>6.39</v>
      </c>
      <c r="F5" s="11">
        <v>4.99</v>
      </c>
    </row>
    <row r="6">
      <c r="A6" s="4" t="s">
        <v>2</v>
      </c>
      <c r="B6" s="12">
        <v>2.0</v>
      </c>
      <c r="C6" s="16"/>
      <c r="D6" s="16">
        <f t="shared" ref="D6:D14" si="1">E6/(1-$C$5)</f>
        <v>15.70039124</v>
      </c>
      <c r="E6" s="17">
        <f t="shared" ref="E6:E14" si="2">CEILING(E5*(1-0.03*LN(B6)/(1+0.03*B6)),0.1)-0.01</f>
        <v>6.29</v>
      </c>
      <c r="F6" s="11">
        <v>5.99</v>
      </c>
    </row>
    <row r="7">
      <c r="A7" s="4" t="s">
        <v>2</v>
      </c>
      <c r="B7" s="12">
        <v>3.0</v>
      </c>
      <c r="C7" s="16"/>
      <c r="D7" s="16">
        <f t="shared" si="1"/>
        <v>15.20117371</v>
      </c>
      <c r="E7" s="17">
        <f t="shared" si="2"/>
        <v>6.09</v>
      </c>
      <c r="F7" s="11">
        <v>6.99</v>
      </c>
    </row>
    <row r="8">
      <c r="A8" s="4" t="s">
        <v>2</v>
      </c>
      <c r="B8" s="12">
        <v>5.0</v>
      </c>
      <c r="C8" s="16"/>
      <c r="D8" s="16">
        <f t="shared" si="1"/>
        <v>14.70195618</v>
      </c>
      <c r="E8" s="17">
        <f t="shared" si="2"/>
        <v>5.89</v>
      </c>
      <c r="F8" s="11">
        <v>8.99</v>
      </c>
    </row>
    <row r="9">
      <c r="A9" s="4" t="s">
        <v>2</v>
      </c>
      <c r="B9" s="12">
        <v>10.0</v>
      </c>
      <c r="C9" s="16"/>
      <c r="D9" s="16">
        <f t="shared" si="1"/>
        <v>13.95312989</v>
      </c>
      <c r="E9" s="17">
        <f t="shared" si="2"/>
        <v>5.59</v>
      </c>
      <c r="F9" s="11">
        <v>11.99</v>
      </c>
    </row>
    <row r="10">
      <c r="A10" s="4" t="s">
        <v>2</v>
      </c>
      <c r="B10" s="12">
        <v>25.0</v>
      </c>
      <c r="C10" s="16"/>
      <c r="D10" s="16">
        <f t="shared" si="1"/>
        <v>13.2043036</v>
      </c>
      <c r="E10" s="17">
        <f t="shared" si="2"/>
        <v>5.29</v>
      </c>
      <c r="F10" s="11">
        <v>14.99</v>
      </c>
    </row>
    <row r="11">
      <c r="A11" s="4" t="s">
        <v>2</v>
      </c>
      <c r="B11" s="12">
        <v>50.0</v>
      </c>
      <c r="C11" s="16"/>
      <c r="D11" s="16">
        <f t="shared" si="1"/>
        <v>12.70508607</v>
      </c>
      <c r="E11" s="17">
        <f t="shared" si="2"/>
        <v>5.09</v>
      </c>
      <c r="F11" s="11">
        <v>19.99</v>
      </c>
    </row>
    <row r="12">
      <c r="A12" s="4" t="s">
        <v>2</v>
      </c>
      <c r="B12" s="12">
        <v>100.0</v>
      </c>
      <c r="C12" s="16"/>
      <c r="D12" s="16">
        <f t="shared" si="1"/>
        <v>12.45547731</v>
      </c>
      <c r="E12" s="17">
        <f t="shared" si="2"/>
        <v>4.99</v>
      </c>
      <c r="F12" s="11">
        <v>19.99</v>
      </c>
    </row>
    <row r="13">
      <c r="A13" s="4" t="s">
        <v>2</v>
      </c>
      <c r="B13" s="12">
        <v>250.0</v>
      </c>
      <c r="C13" s="16"/>
      <c r="D13" s="16">
        <f t="shared" si="1"/>
        <v>12.20586854</v>
      </c>
      <c r="E13" s="17">
        <f t="shared" si="2"/>
        <v>4.89</v>
      </c>
      <c r="F13" s="11">
        <v>19.99</v>
      </c>
    </row>
    <row r="14">
      <c r="A14" s="4" t="s">
        <v>2</v>
      </c>
      <c r="B14" s="12">
        <v>500.0</v>
      </c>
      <c r="C14" s="16"/>
      <c r="D14" s="16">
        <f t="shared" si="1"/>
        <v>12.20586854</v>
      </c>
      <c r="E14" s="17">
        <f t="shared" si="2"/>
        <v>4.89</v>
      </c>
      <c r="F14" s="11">
        <v>19.99</v>
      </c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18"/>
      <c r="B18" s="18"/>
      <c r="C18" s="3"/>
      <c r="D18" s="3"/>
      <c r="E18" s="3"/>
    </row>
    <row r="19">
      <c r="A19" s="4" t="s">
        <v>10</v>
      </c>
      <c r="B19" s="6" t="s">
        <v>11</v>
      </c>
      <c r="C19" s="9"/>
      <c r="D19" s="9"/>
      <c r="E19" s="10"/>
      <c r="F19" s="11"/>
    </row>
    <row r="20">
      <c r="A20" s="4" t="s">
        <v>10</v>
      </c>
      <c r="B20" s="7" t="s">
        <v>5</v>
      </c>
      <c r="C20" s="8" t="s">
        <v>6</v>
      </c>
      <c r="D20" s="9" t="s">
        <v>7</v>
      </c>
      <c r="E20" s="10" t="s">
        <v>8</v>
      </c>
      <c r="F20" s="11" t="s">
        <v>9</v>
      </c>
    </row>
    <row r="21" ht="15.75" customHeight="1">
      <c r="A21" s="4" t="s">
        <v>10</v>
      </c>
      <c r="B21" s="12">
        <v>1.0</v>
      </c>
      <c r="C21" s="19">
        <f>1-E21/D21</f>
        <v>0.6356223176</v>
      </c>
      <c r="D21" s="14">
        <v>23.3</v>
      </c>
      <c r="E21" s="20">
        <v>8.49</v>
      </c>
      <c r="F21" s="11">
        <v>4.99</v>
      </c>
    </row>
    <row r="22" ht="15.75" customHeight="1">
      <c r="A22" s="4" t="s">
        <v>10</v>
      </c>
      <c r="B22" s="12">
        <v>2.0</v>
      </c>
      <c r="C22" s="16"/>
      <c r="D22" s="16">
        <f t="shared" ref="D22:D30" si="3">E22/(1-$C$21)</f>
        <v>23.02555948</v>
      </c>
      <c r="E22" s="17">
        <f t="shared" ref="E22:E30" si="4">CEILING(E21*(1-0.03*LN(B22)/(1+0.03*B22)),0.1)-0.01</f>
        <v>8.39</v>
      </c>
      <c r="F22" s="11">
        <v>5.99</v>
      </c>
    </row>
    <row r="23" ht="15.75" customHeight="1">
      <c r="A23" s="4" t="s">
        <v>10</v>
      </c>
      <c r="B23" s="12">
        <v>3.0</v>
      </c>
      <c r="C23" s="16"/>
      <c r="D23" s="16">
        <f t="shared" si="3"/>
        <v>22.47667845</v>
      </c>
      <c r="E23" s="17">
        <f t="shared" si="4"/>
        <v>8.19</v>
      </c>
      <c r="F23" s="11">
        <v>6.99</v>
      </c>
    </row>
    <row r="24" ht="15.75" customHeight="1">
      <c r="A24" s="4" t="s">
        <v>10</v>
      </c>
      <c r="B24" s="12">
        <v>5.0</v>
      </c>
      <c r="C24" s="16"/>
      <c r="D24" s="16">
        <f t="shared" si="3"/>
        <v>21.65335689</v>
      </c>
      <c r="E24" s="17">
        <f t="shared" si="4"/>
        <v>7.89</v>
      </c>
      <c r="F24" s="11">
        <v>8.99</v>
      </c>
    </row>
    <row r="25" ht="15.75" customHeight="1">
      <c r="A25" s="4" t="s">
        <v>10</v>
      </c>
      <c r="B25" s="12">
        <v>10.0</v>
      </c>
      <c r="C25" s="16"/>
      <c r="D25" s="16">
        <f t="shared" si="3"/>
        <v>20.55559482</v>
      </c>
      <c r="E25" s="17">
        <f t="shared" si="4"/>
        <v>7.49</v>
      </c>
      <c r="F25" s="11">
        <v>11.99</v>
      </c>
    </row>
    <row r="26" ht="15.75" customHeight="1">
      <c r="A26" s="4" t="s">
        <v>10</v>
      </c>
      <c r="B26" s="12">
        <v>25.0</v>
      </c>
      <c r="C26" s="16"/>
      <c r="D26" s="16">
        <f t="shared" si="3"/>
        <v>19.45783274</v>
      </c>
      <c r="E26" s="17">
        <f t="shared" si="4"/>
        <v>7.09</v>
      </c>
      <c r="F26" s="11">
        <v>14.99</v>
      </c>
    </row>
    <row r="27" ht="15.75" customHeight="1">
      <c r="A27" s="4" t="s">
        <v>10</v>
      </c>
      <c r="B27" s="12">
        <v>50.0</v>
      </c>
      <c r="C27" s="16"/>
      <c r="D27" s="16">
        <f t="shared" si="3"/>
        <v>18.63451119</v>
      </c>
      <c r="E27" s="17">
        <f t="shared" si="4"/>
        <v>6.79</v>
      </c>
      <c r="F27" s="11">
        <v>19.99</v>
      </c>
    </row>
    <row r="28" ht="15.75" customHeight="1">
      <c r="A28" s="4" t="s">
        <v>10</v>
      </c>
      <c r="B28" s="12">
        <v>100.0</v>
      </c>
      <c r="C28" s="16"/>
      <c r="D28" s="16">
        <f t="shared" si="3"/>
        <v>18.08563015</v>
      </c>
      <c r="E28" s="17">
        <f t="shared" si="4"/>
        <v>6.59</v>
      </c>
      <c r="F28" s="11">
        <v>19.99</v>
      </c>
    </row>
    <row r="29" ht="15.75" customHeight="1">
      <c r="A29" s="4" t="s">
        <v>10</v>
      </c>
      <c r="B29" s="12">
        <v>250.0</v>
      </c>
      <c r="C29" s="16"/>
      <c r="D29" s="16">
        <f t="shared" si="3"/>
        <v>17.81118963</v>
      </c>
      <c r="E29" s="17">
        <f t="shared" si="4"/>
        <v>6.49</v>
      </c>
      <c r="F29" s="11">
        <v>19.99</v>
      </c>
    </row>
    <row r="30" ht="15.75" customHeight="1">
      <c r="A30" s="4" t="s">
        <v>10</v>
      </c>
      <c r="B30" s="12">
        <v>500.0</v>
      </c>
      <c r="C30" s="16"/>
      <c r="D30" s="16">
        <f t="shared" si="3"/>
        <v>17.81118963</v>
      </c>
      <c r="E30" s="17">
        <f t="shared" si="4"/>
        <v>6.49</v>
      </c>
      <c r="F30" s="11">
        <v>19.99</v>
      </c>
    </row>
    <row r="31" ht="15.75" customHeight="1">
      <c r="A31" s="12"/>
      <c r="B31" s="12"/>
      <c r="C31" s="14"/>
      <c r="D31" s="14"/>
      <c r="E31" s="17"/>
      <c r="F31" s="11"/>
    </row>
    <row r="32" ht="15.75" customHeight="1">
      <c r="A32" s="21"/>
      <c r="B32" s="21"/>
      <c r="C32" s="21"/>
      <c r="D32" s="21"/>
      <c r="E32" s="3"/>
    </row>
    <row r="33" ht="15.75" customHeight="1">
      <c r="A33" s="21"/>
      <c r="B33" s="21"/>
      <c r="C33" s="21"/>
      <c r="D33" s="21"/>
      <c r="E33" s="3"/>
    </row>
    <row r="34" ht="15.75" customHeight="1">
      <c r="A34" s="4" t="s">
        <v>12</v>
      </c>
      <c r="B34" s="6" t="s">
        <v>13</v>
      </c>
      <c r="C34" s="21"/>
      <c r="D34" s="21"/>
      <c r="E34" s="3"/>
    </row>
    <row r="35" ht="15.75" customHeight="1">
      <c r="A35" s="4" t="s">
        <v>12</v>
      </c>
      <c r="B35" s="7" t="s">
        <v>5</v>
      </c>
      <c r="C35" s="8" t="s">
        <v>6</v>
      </c>
      <c r="D35" s="9" t="s">
        <v>7</v>
      </c>
      <c r="E35" s="10" t="s">
        <v>8</v>
      </c>
      <c r="F35" s="11" t="s">
        <v>9</v>
      </c>
    </row>
    <row r="36" ht="15.75" customHeight="1">
      <c r="A36" s="4" t="s">
        <v>12</v>
      </c>
      <c r="B36" s="12">
        <v>1.0</v>
      </c>
      <c r="C36" s="13">
        <f>1-E36/D36</f>
        <v>0.7125344008</v>
      </c>
      <c r="D36" s="14">
        <v>39.97</v>
      </c>
      <c r="E36" s="15">
        <v>11.49</v>
      </c>
      <c r="F36" s="11">
        <v>5.99</v>
      </c>
    </row>
    <row r="37" ht="15.75" customHeight="1">
      <c r="A37" s="4" t="s">
        <v>12</v>
      </c>
      <c r="B37" s="12">
        <v>2.0</v>
      </c>
      <c r="C37" s="16"/>
      <c r="D37" s="16">
        <f t="shared" ref="D37:D45" si="5">E37/(1-$C$36)</f>
        <v>39.27426458</v>
      </c>
      <c r="E37" s="17">
        <f t="shared" ref="E37:E45" si="6">CEILING(E36*(1-0.03*LN(B37)/(1+0.03*B37)),0.1)-0.01</f>
        <v>11.29</v>
      </c>
      <c r="F37" s="11">
        <v>6.99</v>
      </c>
    </row>
    <row r="38" ht="15.75" customHeight="1">
      <c r="A38" s="4" t="s">
        <v>12</v>
      </c>
      <c r="B38" s="12">
        <v>3.0</v>
      </c>
      <c r="C38" s="16"/>
      <c r="D38" s="16">
        <f t="shared" si="5"/>
        <v>38.23066144</v>
      </c>
      <c r="E38" s="17">
        <f t="shared" si="6"/>
        <v>10.99</v>
      </c>
      <c r="F38" s="11">
        <v>7.99</v>
      </c>
    </row>
    <row r="39" ht="15.75" customHeight="1">
      <c r="A39" s="4" t="s">
        <v>12</v>
      </c>
      <c r="B39" s="12">
        <v>5.0</v>
      </c>
      <c r="C39" s="16"/>
      <c r="D39" s="16">
        <f t="shared" si="5"/>
        <v>36.8391906</v>
      </c>
      <c r="E39" s="17">
        <f t="shared" si="6"/>
        <v>10.59</v>
      </c>
      <c r="F39" s="11">
        <v>8.99</v>
      </c>
    </row>
    <row r="40" ht="15.75" customHeight="1">
      <c r="A40" s="4" t="s">
        <v>12</v>
      </c>
      <c r="B40" s="12">
        <v>10.0</v>
      </c>
      <c r="C40" s="16"/>
      <c r="D40" s="16">
        <f t="shared" si="5"/>
        <v>35.09985205</v>
      </c>
      <c r="E40" s="17">
        <f t="shared" si="6"/>
        <v>10.09</v>
      </c>
      <c r="F40" s="11">
        <v>9.99</v>
      </c>
    </row>
    <row r="41" ht="15.75" customHeight="1">
      <c r="A41" s="4" t="s">
        <v>12</v>
      </c>
      <c r="B41" s="12">
        <v>25.0</v>
      </c>
      <c r="C41" s="16"/>
      <c r="D41" s="16">
        <f t="shared" si="5"/>
        <v>33.36051349</v>
      </c>
      <c r="E41" s="17">
        <f t="shared" si="6"/>
        <v>9.59</v>
      </c>
      <c r="F41" s="11">
        <v>14.99</v>
      </c>
    </row>
    <row r="42" ht="15.75" customHeight="1">
      <c r="A42" s="4" t="s">
        <v>12</v>
      </c>
      <c r="B42" s="12">
        <v>50.0</v>
      </c>
      <c r="C42" s="16"/>
      <c r="D42" s="16">
        <f t="shared" si="5"/>
        <v>31.96904265</v>
      </c>
      <c r="E42" s="17">
        <f t="shared" si="6"/>
        <v>9.19</v>
      </c>
      <c r="F42" s="11">
        <v>19.99</v>
      </c>
    </row>
    <row r="43" ht="15.75" customHeight="1">
      <c r="A43" s="4" t="s">
        <v>12</v>
      </c>
      <c r="B43" s="12">
        <v>100.0</v>
      </c>
      <c r="C43" s="16"/>
      <c r="D43" s="16">
        <f t="shared" si="5"/>
        <v>30.92543951</v>
      </c>
      <c r="E43" s="17">
        <f t="shared" si="6"/>
        <v>8.89</v>
      </c>
      <c r="F43" s="11">
        <v>19.99</v>
      </c>
    </row>
    <row r="44" ht="15.75" customHeight="1">
      <c r="A44" s="4" t="s">
        <v>12</v>
      </c>
      <c r="B44" s="12">
        <v>250.0</v>
      </c>
      <c r="C44" s="16"/>
      <c r="D44" s="16">
        <f t="shared" si="5"/>
        <v>30.5775718</v>
      </c>
      <c r="E44" s="17">
        <f t="shared" si="6"/>
        <v>8.79</v>
      </c>
      <c r="F44" s="11">
        <v>19.99</v>
      </c>
    </row>
    <row r="45" ht="15.75" customHeight="1">
      <c r="A45" s="4" t="s">
        <v>12</v>
      </c>
      <c r="B45" s="12">
        <v>500.0</v>
      </c>
      <c r="C45" s="16"/>
      <c r="D45" s="16">
        <f t="shared" si="5"/>
        <v>30.22970409</v>
      </c>
      <c r="E45" s="17">
        <f t="shared" si="6"/>
        <v>8.69</v>
      </c>
      <c r="F45" s="11">
        <v>19.99</v>
      </c>
    </row>
    <row r="46" ht="15.75" customHeight="1">
      <c r="A46" s="12"/>
      <c r="B46" s="12"/>
      <c r="C46" s="14"/>
      <c r="D46" s="14"/>
      <c r="E46" s="17"/>
      <c r="F46" s="11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4" t="s">
        <v>14</v>
      </c>
      <c r="B49" s="5" t="s">
        <v>15</v>
      </c>
      <c r="C49" s="3"/>
      <c r="D49" s="3"/>
      <c r="E49" s="3"/>
    </row>
    <row r="50" ht="15.75" customHeight="1">
      <c r="A50" s="4" t="s">
        <v>14</v>
      </c>
      <c r="B50" s="22" t="s">
        <v>4</v>
      </c>
      <c r="C50" s="3"/>
      <c r="D50" s="3"/>
      <c r="E50" s="3"/>
    </row>
    <row r="51" ht="15.75" customHeight="1">
      <c r="A51" s="4" t="s">
        <v>14</v>
      </c>
      <c r="B51" s="7" t="s">
        <v>5</v>
      </c>
      <c r="C51" s="8" t="s">
        <v>6</v>
      </c>
      <c r="D51" s="9" t="s">
        <v>7</v>
      </c>
      <c r="E51" s="10" t="s">
        <v>8</v>
      </c>
      <c r="F51" s="11" t="s">
        <v>9</v>
      </c>
    </row>
    <row r="52" ht="15.75" customHeight="1">
      <c r="A52" s="4" t="s">
        <v>14</v>
      </c>
      <c r="B52" s="12">
        <v>1.0</v>
      </c>
      <c r="C52" s="13">
        <f>1-E52/D52</f>
        <v>0.5493734336</v>
      </c>
      <c r="D52" s="23">
        <v>19.95</v>
      </c>
      <c r="E52" s="15">
        <v>8.99</v>
      </c>
      <c r="F52" s="11">
        <v>4.99</v>
      </c>
    </row>
    <row r="53" ht="15.75" customHeight="1">
      <c r="A53" s="4" t="s">
        <v>14</v>
      </c>
      <c r="B53" s="12">
        <v>2.0</v>
      </c>
      <c r="C53" s="16"/>
      <c r="D53" s="16">
        <f t="shared" ref="D53:D61" si="7">E53/(1-$C$52)</f>
        <v>19.72808676</v>
      </c>
      <c r="E53" s="17">
        <f t="shared" ref="E53:E61" si="8">CEILING(E52*(1-0.03*LN(B53)/(1+0.03*B53)),0.1)-0.01</f>
        <v>8.89</v>
      </c>
      <c r="F53" s="11">
        <v>5.99</v>
      </c>
    </row>
    <row r="54" ht="15.75" customHeight="1">
      <c r="A54" s="4" t="s">
        <v>14</v>
      </c>
      <c r="B54" s="12">
        <v>3.0</v>
      </c>
      <c r="C54" s="16"/>
      <c r="D54" s="16">
        <f t="shared" si="7"/>
        <v>19.28426029</v>
      </c>
      <c r="E54" s="17">
        <f t="shared" si="8"/>
        <v>8.69</v>
      </c>
      <c r="F54" s="11">
        <v>6.99</v>
      </c>
    </row>
    <row r="55" ht="15.75" customHeight="1">
      <c r="A55" s="4" t="s">
        <v>14</v>
      </c>
      <c r="B55" s="12">
        <v>5.0</v>
      </c>
      <c r="C55" s="16"/>
      <c r="D55" s="16">
        <f t="shared" si="7"/>
        <v>18.61852058</v>
      </c>
      <c r="E55" s="17">
        <f t="shared" si="8"/>
        <v>8.39</v>
      </c>
      <c r="F55" s="11">
        <v>8.99</v>
      </c>
    </row>
    <row r="56" ht="15.75" customHeight="1">
      <c r="A56" s="4" t="s">
        <v>14</v>
      </c>
      <c r="B56" s="12">
        <v>10.0</v>
      </c>
      <c r="C56" s="16"/>
      <c r="D56" s="16">
        <f t="shared" si="7"/>
        <v>17.73086763</v>
      </c>
      <c r="E56" s="17">
        <f t="shared" si="8"/>
        <v>7.99</v>
      </c>
      <c r="F56" s="11">
        <v>11.99</v>
      </c>
    </row>
    <row r="57" ht="15.75" customHeight="1">
      <c r="A57" s="4" t="s">
        <v>14</v>
      </c>
      <c r="B57" s="12">
        <v>25.0</v>
      </c>
      <c r="C57" s="16"/>
      <c r="D57" s="16">
        <f t="shared" si="7"/>
        <v>16.84321468</v>
      </c>
      <c r="E57" s="17">
        <f t="shared" si="8"/>
        <v>7.59</v>
      </c>
      <c r="F57" s="11">
        <v>14.99</v>
      </c>
    </row>
    <row r="58" ht="15.75" customHeight="1">
      <c r="A58" s="4" t="s">
        <v>14</v>
      </c>
      <c r="B58" s="12">
        <v>50.0</v>
      </c>
      <c r="C58" s="16"/>
      <c r="D58" s="16">
        <f t="shared" si="7"/>
        <v>16.17747497</v>
      </c>
      <c r="E58" s="17">
        <f t="shared" si="8"/>
        <v>7.29</v>
      </c>
      <c r="F58" s="11">
        <v>19.99</v>
      </c>
    </row>
    <row r="59" ht="15.75" customHeight="1">
      <c r="A59" s="4" t="s">
        <v>14</v>
      </c>
      <c r="B59" s="12">
        <v>100.0</v>
      </c>
      <c r="C59" s="16"/>
      <c r="D59" s="16">
        <f t="shared" si="7"/>
        <v>15.7336485</v>
      </c>
      <c r="E59" s="17">
        <f t="shared" si="8"/>
        <v>7.09</v>
      </c>
      <c r="F59" s="11">
        <v>19.99</v>
      </c>
    </row>
    <row r="60" ht="15.75" customHeight="1">
      <c r="A60" s="4" t="s">
        <v>14</v>
      </c>
      <c r="B60" s="12">
        <v>250.0</v>
      </c>
      <c r="C60" s="16"/>
      <c r="D60" s="16">
        <f t="shared" si="7"/>
        <v>15.51173526</v>
      </c>
      <c r="E60" s="17">
        <f t="shared" si="8"/>
        <v>6.99</v>
      </c>
      <c r="F60" s="11">
        <v>19.99</v>
      </c>
    </row>
    <row r="61" ht="15.75" customHeight="1">
      <c r="A61" s="4" t="s">
        <v>14</v>
      </c>
      <c r="B61" s="12">
        <v>500.0</v>
      </c>
      <c r="C61" s="16"/>
      <c r="D61" s="16">
        <f t="shared" si="7"/>
        <v>15.51173526</v>
      </c>
      <c r="E61" s="17">
        <f t="shared" si="8"/>
        <v>6.99</v>
      </c>
      <c r="F61" s="11">
        <v>19.99</v>
      </c>
    </row>
    <row r="62" ht="15.75" customHeight="1">
      <c r="A62" s="12"/>
      <c r="B62" s="12"/>
      <c r="C62" s="16"/>
      <c r="D62" s="16"/>
      <c r="E62" s="17"/>
      <c r="F62" s="11"/>
    </row>
    <row r="63" ht="15.75" customHeight="1">
      <c r="A63" s="21"/>
      <c r="B63" s="21"/>
      <c r="C63" s="21"/>
      <c r="D63" s="21"/>
      <c r="E63" s="3"/>
    </row>
    <row r="64" ht="15.75" customHeight="1">
      <c r="A64" s="21"/>
      <c r="B64" s="21"/>
      <c r="C64" s="21"/>
      <c r="D64" s="21"/>
      <c r="E64" s="3"/>
    </row>
    <row r="65" ht="15.75" customHeight="1">
      <c r="A65" s="4" t="s">
        <v>16</v>
      </c>
      <c r="B65" s="22" t="s">
        <v>17</v>
      </c>
      <c r="C65" s="21"/>
      <c r="D65" s="21"/>
      <c r="E65" s="3"/>
    </row>
    <row r="66" ht="15.75" customHeight="1">
      <c r="A66" s="4" t="s">
        <v>16</v>
      </c>
      <c r="B66" s="7" t="s">
        <v>5</v>
      </c>
      <c r="C66" s="8" t="s">
        <v>6</v>
      </c>
      <c r="D66" s="9" t="s">
        <v>7</v>
      </c>
      <c r="E66" s="10" t="s">
        <v>8</v>
      </c>
      <c r="F66" s="11" t="s">
        <v>9</v>
      </c>
    </row>
    <row r="67" ht="15.75" customHeight="1">
      <c r="A67" s="4" t="s">
        <v>16</v>
      </c>
      <c r="B67" s="12">
        <v>1.0</v>
      </c>
      <c r="C67" s="13">
        <f>1-E67/D67</f>
        <v>0.656427379</v>
      </c>
      <c r="D67" s="23">
        <v>29.95</v>
      </c>
      <c r="E67" s="15">
        <v>10.29</v>
      </c>
      <c r="F67" s="10">
        <v>4.99</v>
      </c>
    </row>
    <row r="68" ht="15.75" customHeight="1">
      <c r="A68" s="4" t="s">
        <v>16</v>
      </c>
      <c r="B68" s="12">
        <v>2.0</v>
      </c>
      <c r="C68" s="16"/>
      <c r="D68" s="16">
        <f t="shared" ref="D68:D76" si="9">E68/(1-$C$67)</f>
        <v>29.36788144</v>
      </c>
      <c r="E68" s="17">
        <f t="shared" ref="E68:E76" si="10">CEILING(E67*(1-0.03*LN(B68)/(1+0.03*B68)),0.1)-0.01</f>
        <v>10.09</v>
      </c>
      <c r="F68" s="11">
        <v>5.99</v>
      </c>
    </row>
    <row r="69" ht="15.75" customHeight="1">
      <c r="A69" s="4" t="s">
        <v>16</v>
      </c>
      <c r="B69" s="12">
        <v>3.0</v>
      </c>
      <c r="C69" s="16"/>
      <c r="D69" s="16">
        <f t="shared" si="9"/>
        <v>28.4947036</v>
      </c>
      <c r="E69" s="17">
        <f t="shared" si="10"/>
        <v>9.79</v>
      </c>
      <c r="F69" s="11">
        <v>6.99</v>
      </c>
    </row>
    <row r="70" ht="15.75" customHeight="1">
      <c r="A70" s="4" t="s">
        <v>16</v>
      </c>
      <c r="B70" s="12">
        <v>5.0</v>
      </c>
      <c r="C70" s="16"/>
      <c r="D70" s="16">
        <f t="shared" si="9"/>
        <v>27.33046647</v>
      </c>
      <c r="E70" s="17">
        <f t="shared" si="10"/>
        <v>9.39</v>
      </c>
      <c r="F70" s="11">
        <v>8.99</v>
      </c>
    </row>
    <row r="71" ht="15.75" customHeight="1">
      <c r="A71" s="4" t="s">
        <v>16</v>
      </c>
      <c r="B71" s="12">
        <v>10.0</v>
      </c>
      <c r="C71" s="16"/>
      <c r="D71" s="16">
        <f t="shared" si="9"/>
        <v>25.87517007</v>
      </c>
      <c r="E71" s="17">
        <f t="shared" si="10"/>
        <v>8.89</v>
      </c>
      <c r="F71" s="11">
        <v>11.99</v>
      </c>
    </row>
    <row r="72" ht="15.75" customHeight="1">
      <c r="A72" s="4" t="s">
        <v>16</v>
      </c>
      <c r="B72" s="12">
        <v>25.0</v>
      </c>
      <c r="C72" s="16"/>
      <c r="D72" s="16">
        <f t="shared" si="9"/>
        <v>24.41987366</v>
      </c>
      <c r="E72" s="17">
        <f t="shared" si="10"/>
        <v>8.39</v>
      </c>
      <c r="F72" s="11">
        <v>14.99</v>
      </c>
    </row>
    <row r="73" ht="15.75" customHeight="1">
      <c r="A73" s="4" t="s">
        <v>16</v>
      </c>
      <c r="B73" s="12">
        <v>50.0</v>
      </c>
      <c r="C73" s="16"/>
      <c r="D73" s="16">
        <f t="shared" si="9"/>
        <v>23.25563654</v>
      </c>
      <c r="E73" s="17">
        <f t="shared" si="10"/>
        <v>7.99</v>
      </c>
      <c r="F73" s="11">
        <v>19.99</v>
      </c>
    </row>
    <row r="74" ht="15.75" customHeight="1">
      <c r="A74" s="4" t="s">
        <v>16</v>
      </c>
      <c r="B74" s="12">
        <v>100.0</v>
      </c>
      <c r="C74" s="16"/>
      <c r="D74" s="16">
        <f t="shared" si="9"/>
        <v>22.67351798</v>
      </c>
      <c r="E74" s="17">
        <f t="shared" si="10"/>
        <v>7.79</v>
      </c>
      <c r="F74" s="11">
        <v>19.99</v>
      </c>
    </row>
    <row r="75" ht="15.75" customHeight="1">
      <c r="A75" s="4" t="s">
        <v>16</v>
      </c>
      <c r="B75" s="12">
        <v>250.0</v>
      </c>
      <c r="C75" s="16"/>
      <c r="D75" s="16">
        <f t="shared" si="9"/>
        <v>22.3824587</v>
      </c>
      <c r="E75" s="17">
        <f t="shared" si="10"/>
        <v>7.69</v>
      </c>
      <c r="F75" s="11">
        <v>19.99</v>
      </c>
    </row>
    <row r="76" ht="15.75" customHeight="1">
      <c r="A76" s="4" t="s">
        <v>16</v>
      </c>
      <c r="B76" s="12">
        <v>500.0</v>
      </c>
      <c r="C76" s="16"/>
      <c r="D76" s="16">
        <f t="shared" si="9"/>
        <v>22.3824587</v>
      </c>
      <c r="E76" s="17">
        <f t="shared" si="10"/>
        <v>7.69</v>
      </c>
      <c r="F76" s="11">
        <v>19.99</v>
      </c>
    </row>
    <row r="77" ht="15.75" customHeight="1">
      <c r="A77" s="12"/>
      <c r="B77" s="12"/>
      <c r="C77" s="14"/>
      <c r="D77" s="14"/>
      <c r="E77" s="17"/>
      <c r="F77" s="11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4" t="s">
        <v>18</v>
      </c>
      <c r="B80" s="22" t="s">
        <v>13</v>
      </c>
      <c r="C80" s="21"/>
      <c r="D80" s="21"/>
      <c r="E80" s="3"/>
    </row>
    <row r="81" ht="15.75" customHeight="1">
      <c r="A81" s="4" t="s">
        <v>18</v>
      </c>
      <c r="B81" s="7" t="s">
        <v>5</v>
      </c>
      <c r="C81" s="8" t="s">
        <v>6</v>
      </c>
      <c r="D81" s="9" t="s">
        <v>7</v>
      </c>
      <c r="E81" s="10" t="s">
        <v>8</v>
      </c>
      <c r="F81" s="11" t="s">
        <v>9</v>
      </c>
    </row>
    <row r="82" ht="15.75" customHeight="1">
      <c r="A82" s="4" t="s">
        <v>18</v>
      </c>
      <c r="B82" s="12">
        <v>1.0</v>
      </c>
      <c r="C82" s="13">
        <f>1-E82/D82</f>
        <v>0.6598598599</v>
      </c>
      <c r="D82" s="23">
        <v>49.95</v>
      </c>
      <c r="E82" s="15">
        <v>16.99</v>
      </c>
      <c r="F82" s="11">
        <v>6.99</v>
      </c>
    </row>
    <row r="83" ht="15.75" customHeight="1">
      <c r="A83" s="4" t="s">
        <v>18</v>
      </c>
      <c r="B83" s="12">
        <v>2.0</v>
      </c>
      <c r="C83" s="16"/>
      <c r="D83" s="16">
        <f t="shared" ref="D83:D91" si="11">E83/(1-$C$82)</f>
        <v>49.06801059</v>
      </c>
      <c r="E83" s="17">
        <f t="shared" ref="E83:E91" si="12">CEILING(E82*(1-0.03*LN(B83)/(1+0.03*B83)),0.1)-0.01</f>
        <v>16.69</v>
      </c>
      <c r="F83" s="11">
        <v>7.99</v>
      </c>
    </row>
    <row r="84" ht="15.75" customHeight="1">
      <c r="A84" s="4" t="s">
        <v>18</v>
      </c>
      <c r="B84" s="12">
        <v>3.0</v>
      </c>
      <c r="C84" s="16"/>
      <c r="D84" s="16">
        <f t="shared" si="11"/>
        <v>47.59802825</v>
      </c>
      <c r="E84" s="17">
        <f t="shared" si="12"/>
        <v>16.19</v>
      </c>
      <c r="F84" s="11">
        <v>8.99</v>
      </c>
    </row>
    <row r="85" ht="15.75" customHeight="1">
      <c r="A85" s="4" t="s">
        <v>18</v>
      </c>
      <c r="B85" s="12">
        <v>5.0</v>
      </c>
      <c r="C85" s="16"/>
      <c r="D85" s="16">
        <f t="shared" si="11"/>
        <v>45.83404944</v>
      </c>
      <c r="E85" s="17">
        <f t="shared" si="12"/>
        <v>15.59</v>
      </c>
      <c r="F85" s="11">
        <v>9.99</v>
      </c>
    </row>
    <row r="86" ht="15.75" customHeight="1">
      <c r="A86" s="4" t="s">
        <v>18</v>
      </c>
      <c r="B86" s="12">
        <v>10.0</v>
      </c>
      <c r="C86" s="16"/>
      <c r="D86" s="16">
        <f t="shared" si="11"/>
        <v>43.48207769</v>
      </c>
      <c r="E86" s="17">
        <f t="shared" si="12"/>
        <v>14.79</v>
      </c>
      <c r="F86" s="11">
        <v>12.99</v>
      </c>
    </row>
    <row r="87" ht="15.75" customHeight="1">
      <c r="A87" s="4" t="s">
        <v>18</v>
      </c>
      <c r="B87" s="12">
        <v>25.0</v>
      </c>
      <c r="C87" s="16"/>
      <c r="D87" s="16">
        <f t="shared" si="11"/>
        <v>41.13010594</v>
      </c>
      <c r="E87" s="17">
        <f t="shared" si="12"/>
        <v>13.99</v>
      </c>
      <c r="F87" s="11">
        <v>14.99</v>
      </c>
    </row>
    <row r="88" ht="15.75" customHeight="1">
      <c r="A88" s="4" t="s">
        <v>18</v>
      </c>
      <c r="B88" s="12">
        <v>50.0</v>
      </c>
      <c r="C88" s="16"/>
      <c r="D88" s="16">
        <f t="shared" si="11"/>
        <v>39.36612713</v>
      </c>
      <c r="E88" s="17">
        <f t="shared" si="12"/>
        <v>13.39</v>
      </c>
      <c r="F88" s="11">
        <v>19.99</v>
      </c>
    </row>
    <row r="89" ht="15.75" customHeight="1">
      <c r="A89" s="4" t="s">
        <v>18</v>
      </c>
      <c r="B89" s="12">
        <v>100.0</v>
      </c>
      <c r="C89" s="16"/>
      <c r="D89" s="16">
        <f t="shared" si="11"/>
        <v>38.19014126</v>
      </c>
      <c r="E89" s="17">
        <f t="shared" si="12"/>
        <v>12.99</v>
      </c>
      <c r="F89" s="11">
        <v>19.99</v>
      </c>
    </row>
    <row r="90" ht="15.75" customHeight="1">
      <c r="A90" s="4" t="s">
        <v>18</v>
      </c>
      <c r="B90" s="12">
        <v>250.0</v>
      </c>
      <c r="C90" s="16"/>
      <c r="D90" s="16">
        <f t="shared" si="11"/>
        <v>37.60214832</v>
      </c>
      <c r="E90" s="17">
        <f t="shared" si="12"/>
        <v>12.79</v>
      </c>
      <c r="F90" s="11">
        <v>19.99</v>
      </c>
    </row>
    <row r="91" ht="15.75" customHeight="1">
      <c r="A91" s="4" t="s">
        <v>18</v>
      </c>
      <c r="B91" s="12">
        <v>500.0</v>
      </c>
      <c r="C91" s="16"/>
      <c r="D91" s="16">
        <f t="shared" si="11"/>
        <v>37.30815185</v>
      </c>
      <c r="E91" s="17">
        <f t="shared" si="12"/>
        <v>12.69</v>
      </c>
      <c r="F91" s="11">
        <v>19.99</v>
      </c>
    </row>
    <row r="92" ht="15.75" customHeight="1">
      <c r="A92" s="12"/>
      <c r="B92" s="12"/>
      <c r="C92" s="14"/>
      <c r="D92" s="14"/>
      <c r="E92" s="17"/>
      <c r="F92" s="11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4" t="s">
        <v>19</v>
      </c>
      <c r="B95" s="18" t="s">
        <v>20</v>
      </c>
      <c r="C95" s="3"/>
      <c r="D95" s="3"/>
      <c r="E95" s="3"/>
    </row>
    <row r="96" ht="15.75" customHeight="1">
      <c r="A96" s="4" t="s">
        <v>19</v>
      </c>
      <c r="B96" s="6" t="s">
        <v>21</v>
      </c>
      <c r="C96" s="3"/>
      <c r="D96" s="3"/>
      <c r="E96" s="3"/>
    </row>
    <row r="97" ht="15.75" customHeight="1">
      <c r="A97" s="4" t="s">
        <v>19</v>
      </c>
      <c r="B97" s="7" t="s">
        <v>5</v>
      </c>
      <c r="C97" s="8" t="s">
        <v>6</v>
      </c>
      <c r="D97" s="9" t="s">
        <v>7</v>
      </c>
      <c r="E97" s="10" t="s">
        <v>8</v>
      </c>
      <c r="F97" s="11" t="s">
        <v>9</v>
      </c>
    </row>
    <row r="98" ht="15.75" customHeight="1">
      <c r="A98" s="4" t="s">
        <v>19</v>
      </c>
      <c r="B98" s="12">
        <v>1.0</v>
      </c>
      <c r="C98" s="13">
        <f>1-E98/D98</f>
        <v>0.5798878767</v>
      </c>
      <c r="D98" s="14">
        <v>28.54</v>
      </c>
      <c r="E98" s="15">
        <v>11.99</v>
      </c>
      <c r="F98" s="11">
        <v>4.99</v>
      </c>
    </row>
    <row r="99" ht="15.75" customHeight="1">
      <c r="A99" s="4" t="s">
        <v>19</v>
      </c>
      <c r="B99" s="12">
        <v>2.0</v>
      </c>
      <c r="C99" s="16"/>
      <c r="D99" s="16">
        <f t="shared" ref="D99:D107" si="13">E99/(1-$C$98)</f>
        <v>28.06393661</v>
      </c>
      <c r="E99" s="17">
        <f t="shared" ref="E99:E107" si="14">CEILING(E98*(1-0.03*LN(B99)/(1+0.03*B99)),0.1)-0.01</f>
        <v>11.79</v>
      </c>
      <c r="F99" s="11">
        <v>5.99</v>
      </c>
    </row>
    <row r="100" ht="15.75" customHeight="1">
      <c r="A100" s="4" t="s">
        <v>19</v>
      </c>
      <c r="B100" s="12">
        <v>3.0</v>
      </c>
      <c r="C100" s="16"/>
      <c r="D100" s="16">
        <f t="shared" si="13"/>
        <v>27.34984153</v>
      </c>
      <c r="E100" s="17">
        <f t="shared" si="14"/>
        <v>11.49</v>
      </c>
      <c r="F100" s="11">
        <v>6.99</v>
      </c>
    </row>
    <row r="101" ht="15.75" customHeight="1">
      <c r="A101" s="4" t="s">
        <v>19</v>
      </c>
      <c r="B101" s="12">
        <v>5.0</v>
      </c>
      <c r="C101" s="16"/>
      <c r="D101" s="16">
        <f t="shared" si="13"/>
        <v>26.39771476</v>
      </c>
      <c r="E101" s="17">
        <f t="shared" si="14"/>
        <v>11.09</v>
      </c>
      <c r="F101" s="11">
        <v>8.99</v>
      </c>
    </row>
    <row r="102" ht="15.75" customHeight="1">
      <c r="A102" s="4" t="s">
        <v>19</v>
      </c>
      <c r="B102" s="12">
        <v>10.0</v>
      </c>
      <c r="C102" s="16"/>
      <c r="D102" s="16">
        <f t="shared" si="13"/>
        <v>25.2075563</v>
      </c>
      <c r="E102" s="17">
        <f t="shared" si="14"/>
        <v>10.59</v>
      </c>
      <c r="F102" s="11">
        <v>11.99</v>
      </c>
    </row>
    <row r="103" ht="15.75" customHeight="1">
      <c r="A103" s="4" t="s">
        <v>19</v>
      </c>
      <c r="B103" s="12">
        <v>25.0</v>
      </c>
      <c r="C103" s="16"/>
      <c r="D103" s="16">
        <f t="shared" si="13"/>
        <v>24.01739783</v>
      </c>
      <c r="E103" s="17">
        <f t="shared" si="14"/>
        <v>10.09</v>
      </c>
      <c r="F103" s="11">
        <v>14.99</v>
      </c>
    </row>
    <row r="104" ht="15.75" customHeight="1">
      <c r="A104" s="4" t="s">
        <v>19</v>
      </c>
      <c r="B104" s="12">
        <v>50.0</v>
      </c>
      <c r="C104" s="16"/>
      <c r="D104" s="16">
        <f t="shared" si="13"/>
        <v>23.06527106</v>
      </c>
      <c r="E104" s="17">
        <f t="shared" si="14"/>
        <v>9.69</v>
      </c>
      <c r="F104" s="11">
        <v>19.99</v>
      </c>
    </row>
    <row r="105" ht="15.75" customHeight="1">
      <c r="A105" s="4" t="s">
        <v>19</v>
      </c>
      <c r="B105" s="12">
        <v>100.0</v>
      </c>
      <c r="C105" s="16"/>
      <c r="D105" s="16">
        <f t="shared" si="13"/>
        <v>22.35117598</v>
      </c>
      <c r="E105" s="17">
        <f t="shared" si="14"/>
        <v>9.39</v>
      </c>
      <c r="F105" s="11">
        <v>19.99</v>
      </c>
    </row>
    <row r="106" ht="15.75" customHeight="1">
      <c r="A106" s="4" t="s">
        <v>19</v>
      </c>
      <c r="B106" s="12">
        <v>250.0</v>
      </c>
      <c r="C106" s="16"/>
      <c r="D106" s="16">
        <f t="shared" si="13"/>
        <v>22.11314429</v>
      </c>
      <c r="E106" s="17">
        <f t="shared" si="14"/>
        <v>9.29</v>
      </c>
      <c r="F106" s="11">
        <v>19.99</v>
      </c>
    </row>
    <row r="107" ht="15.75" customHeight="1">
      <c r="A107" s="4" t="s">
        <v>19</v>
      </c>
      <c r="B107" s="12">
        <v>500.0</v>
      </c>
      <c r="C107" s="16"/>
      <c r="D107" s="16">
        <f t="shared" si="13"/>
        <v>21.87511259</v>
      </c>
      <c r="E107" s="17">
        <f t="shared" si="14"/>
        <v>9.19</v>
      </c>
      <c r="F107" s="11">
        <v>19.99</v>
      </c>
    </row>
    <row r="108" ht="15.75" customHeight="1">
      <c r="A108" s="12"/>
      <c r="B108" s="12"/>
      <c r="C108" s="16"/>
      <c r="D108" s="16"/>
      <c r="E108" s="17"/>
      <c r="F108" s="11"/>
    </row>
    <row r="109" ht="15.75" customHeight="1">
      <c r="A109" s="21"/>
      <c r="B109" s="21"/>
      <c r="C109" s="21"/>
      <c r="D109" s="21"/>
      <c r="E109" s="3"/>
    </row>
    <row r="110" ht="15.75" customHeight="1">
      <c r="A110" s="21"/>
      <c r="B110" s="21"/>
      <c r="C110" s="21"/>
      <c r="D110" s="21"/>
      <c r="E110" s="3"/>
    </row>
    <row r="111" ht="15.75" customHeight="1">
      <c r="A111" s="4" t="s">
        <v>22</v>
      </c>
      <c r="B111" s="6" t="s">
        <v>23</v>
      </c>
      <c r="C111" s="21"/>
      <c r="D111" s="21"/>
      <c r="E111" s="3"/>
    </row>
    <row r="112" ht="15.75" customHeight="1">
      <c r="A112" s="4" t="s">
        <v>22</v>
      </c>
      <c r="B112" s="7" t="s">
        <v>5</v>
      </c>
      <c r="C112" s="8" t="s">
        <v>6</v>
      </c>
      <c r="D112" s="9" t="s">
        <v>7</v>
      </c>
      <c r="E112" s="10" t="s">
        <v>8</v>
      </c>
      <c r="F112" s="11" t="s">
        <v>9</v>
      </c>
    </row>
    <row r="113" ht="15.75" customHeight="1">
      <c r="A113" s="4" t="s">
        <v>22</v>
      </c>
      <c r="B113" s="12">
        <v>1.0</v>
      </c>
      <c r="C113" s="13">
        <f>1-E113/D113</f>
        <v>0.5624635143</v>
      </c>
      <c r="D113" s="14">
        <v>34.26</v>
      </c>
      <c r="E113" s="15">
        <v>14.99</v>
      </c>
      <c r="F113" s="11">
        <v>4.99</v>
      </c>
    </row>
    <row r="114" ht="15.75" customHeight="1">
      <c r="A114" s="4" t="s">
        <v>22</v>
      </c>
      <c r="B114" s="12">
        <v>2.0</v>
      </c>
      <c r="C114" s="16"/>
      <c r="D114" s="16">
        <f t="shared" ref="D114:D122" si="15">E114/(1-$C$113)</f>
        <v>33.5743429</v>
      </c>
      <c r="E114" s="17">
        <f t="shared" ref="E114:E122" si="16">CEILING(E113*(1-0.03*LN(B114)/(1+0.03*B114)),0.1)-0.01</f>
        <v>14.69</v>
      </c>
      <c r="F114" s="11">
        <v>5.99</v>
      </c>
    </row>
    <row r="115" ht="15.75" customHeight="1">
      <c r="A115" s="4" t="s">
        <v>22</v>
      </c>
      <c r="B115" s="12">
        <v>3.0</v>
      </c>
      <c r="C115" s="16"/>
      <c r="D115" s="16">
        <f t="shared" si="15"/>
        <v>32.66013342</v>
      </c>
      <c r="E115" s="17">
        <f t="shared" si="16"/>
        <v>14.29</v>
      </c>
      <c r="F115" s="11">
        <v>6.99</v>
      </c>
    </row>
    <row r="116" ht="15.75" customHeight="1">
      <c r="A116" s="4" t="s">
        <v>22</v>
      </c>
      <c r="B116" s="12">
        <v>5.0</v>
      </c>
      <c r="C116" s="16"/>
      <c r="D116" s="16">
        <f t="shared" si="15"/>
        <v>31.28881921</v>
      </c>
      <c r="E116" s="17">
        <f t="shared" si="16"/>
        <v>13.69</v>
      </c>
      <c r="F116" s="11">
        <v>8.99</v>
      </c>
    </row>
    <row r="117" ht="15.75" customHeight="1">
      <c r="A117" s="4" t="s">
        <v>22</v>
      </c>
      <c r="B117" s="12">
        <v>10.0</v>
      </c>
      <c r="C117" s="16"/>
      <c r="D117" s="16">
        <f t="shared" si="15"/>
        <v>29.68895264</v>
      </c>
      <c r="E117" s="17">
        <f t="shared" si="16"/>
        <v>12.99</v>
      </c>
      <c r="F117" s="11">
        <v>11.99</v>
      </c>
    </row>
    <row r="118" ht="15.75" customHeight="1">
      <c r="A118" s="4" t="s">
        <v>22</v>
      </c>
      <c r="B118" s="12">
        <v>25.0</v>
      </c>
      <c r="C118" s="16"/>
      <c r="D118" s="16">
        <f t="shared" si="15"/>
        <v>28.08908606</v>
      </c>
      <c r="E118" s="17">
        <f t="shared" si="16"/>
        <v>12.29</v>
      </c>
      <c r="F118" s="11">
        <v>14.99</v>
      </c>
    </row>
    <row r="119" ht="15.75" customHeight="1">
      <c r="A119" s="4" t="s">
        <v>22</v>
      </c>
      <c r="B119" s="12">
        <v>50.0</v>
      </c>
      <c r="C119" s="16"/>
      <c r="D119" s="16">
        <f t="shared" si="15"/>
        <v>26.94632422</v>
      </c>
      <c r="E119" s="17">
        <f t="shared" si="16"/>
        <v>11.79</v>
      </c>
      <c r="F119" s="11">
        <v>19.99</v>
      </c>
    </row>
    <row r="120" ht="15.75" customHeight="1">
      <c r="A120" s="4" t="s">
        <v>22</v>
      </c>
      <c r="B120" s="12">
        <v>100.0</v>
      </c>
      <c r="C120" s="16"/>
      <c r="D120" s="16">
        <f t="shared" si="15"/>
        <v>26.03211474</v>
      </c>
      <c r="E120" s="17">
        <f t="shared" si="16"/>
        <v>11.39</v>
      </c>
      <c r="F120" s="11">
        <v>19.99</v>
      </c>
    </row>
    <row r="121" ht="15.75" customHeight="1">
      <c r="A121" s="4" t="s">
        <v>22</v>
      </c>
      <c r="B121" s="12">
        <v>250.0</v>
      </c>
      <c r="C121" s="16"/>
      <c r="D121" s="16">
        <f t="shared" si="15"/>
        <v>25.57501001</v>
      </c>
      <c r="E121" s="17">
        <f t="shared" si="16"/>
        <v>11.19</v>
      </c>
      <c r="F121" s="11">
        <v>19.99</v>
      </c>
    </row>
    <row r="122" ht="15.75" customHeight="1">
      <c r="A122" s="4" t="s">
        <v>22</v>
      </c>
      <c r="B122" s="12">
        <v>500.0</v>
      </c>
      <c r="C122" s="16"/>
      <c r="D122" s="16">
        <f t="shared" si="15"/>
        <v>25.34645764</v>
      </c>
      <c r="E122" s="17">
        <f t="shared" si="16"/>
        <v>11.09</v>
      </c>
      <c r="F122" s="11">
        <v>19.99</v>
      </c>
    </row>
    <row r="123" ht="15.75" customHeight="1">
      <c r="A123" s="12"/>
      <c r="B123" s="12"/>
      <c r="C123" s="14"/>
      <c r="D123" s="14"/>
      <c r="E123" s="17"/>
      <c r="F123" s="11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4" t="s">
        <v>24</v>
      </c>
      <c r="B126" s="6" t="s">
        <v>25</v>
      </c>
      <c r="C126" s="21"/>
      <c r="D126" s="21"/>
      <c r="E126" s="3"/>
    </row>
    <row r="127" ht="15.75" customHeight="1">
      <c r="A127" s="4" t="s">
        <v>24</v>
      </c>
      <c r="B127" s="7" t="s">
        <v>5</v>
      </c>
      <c r="C127" s="8" t="s">
        <v>6</v>
      </c>
      <c r="D127" s="9" t="s">
        <v>7</v>
      </c>
      <c r="E127" s="10" t="s">
        <v>8</v>
      </c>
      <c r="F127" s="11" t="s">
        <v>9</v>
      </c>
    </row>
    <row r="128" ht="15.75" customHeight="1">
      <c r="A128" s="4" t="s">
        <v>24</v>
      </c>
      <c r="B128" s="12">
        <v>1.0</v>
      </c>
      <c r="C128" s="13">
        <f>1-E128/D128</f>
        <v>0.6110894942</v>
      </c>
      <c r="D128" s="14">
        <v>51.4</v>
      </c>
      <c r="E128" s="15">
        <v>19.99</v>
      </c>
      <c r="F128" s="11">
        <v>6.99</v>
      </c>
    </row>
    <row r="129" ht="15.75" customHeight="1">
      <c r="A129" s="4" t="s">
        <v>24</v>
      </c>
      <c r="B129" s="12">
        <v>2.0</v>
      </c>
      <c r="C129" s="16"/>
      <c r="D129" s="16">
        <f t="shared" ref="D129:D137" si="17">E129/(1-$C$128)</f>
        <v>50.37148574</v>
      </c>
      <c r="E129" s="17">
        <f t="shared" ref="E129:E137" si="18">CEILING(E128*(1-0.03*LN(B129)/(1+0.03*B129)),0.1)-0.01</f>
        <v>19.59</v>
      </c>
      <c r="F129" s="11">
        <v>7.99</v>
      </c>
    </row>
    <row r="130" ht="15.75" customHeight="1">
      <c r="A130" s="4" t="s">
        <v>24</v>
      </c>
      <c r="B130" s="12">
        <v>3.0</v>
      </c>
      <c r="C130" s="16"/>
      <c r="D130" s="16">
        <f t="shared" si="17"/>
        <v>48.82871436</v>
      </c>
      <c r="E130" s="17">
        <f t="shared" si="18"/>
        <v>18.99</v>
      </c>
      <c r="F130" s="11">
        <v>8.99</v>
      </c>
    </row>
    <row r="131" ht="15.75" customHeight="1">
      <c r="A131" s="4" t="s">
        <v>24</v>
      </c>
      <c r="B131" s="12">
        <v>5.0</v>
      </c>
      <c r="C131" s="16"/>
      <c r="D131" s="16">
        <f t="shared" si="17"/>
        <v>46.77168584</v>
      </c>
      <c r="E131" s="17">
        <f t="shared" si="18"/>
        <v>18.19</v>
      </c>
      <c r="F131" s="11">
        <v>9.99</v>
      </c>
    </row>
    <row r="132" ht="15.75" customHeight="1">
      <c r="A132" s="4" t="s">
        <v>24</v>
      </c>
      <c r="B132" s="12">
        <v>10.0</v>
      </c>
      <c r="C132" s="16"/>
      <c r="D132" s="16">
        <f t="shared" si="17"/>
        <v>44.45752876</v>
      </c>
      <c r="E132" s="17">
        <f t="shared" si="18"/>
        <v>17.29</v>
      </c>
      <c r="F132" s="11">
        <v>12.99</v>
      </c>
    </row>
    <row r="133" ht="15.75" customHeight="1">
      <c r="A133" s="4" t="s">
        <v>24</v>
      </c>
      <c r="B133" s="12">
        <v>25.0</v>
      </c>
      <c r="C133" s="16"/>
      <c r="D133" s="16">
        <f t="shared" si="17"/>
        <v>42.14337169</v>
      </c>
      <c r="E133" s="17">
        <f t="shared" si="18"/>
        <v>16.39</v>
      </c>
      <c r="F133" s="11">
        <v>14.99</v>
      </c>
    </row>
    <row r="134" ht="15.75" customHeight="1">
      <c r="A134" s="4" t="s">
        <v>24</v>
      </c>
      <c r="B134" s="12">
        <v>50.0</v>
      </c>
      <c r="C134" s="16"/>
      <c r="D134" s="16">
        <f t="shared" si="17"/>
        <v>40.34347174</v>
      </c>
      <c r="E134" s="17">
        <f t="shared" si="18"/>
        <v>15.69</v>
      </c>
      <c r="F134" s="11">
        <v>19.99</v>
      </c>
    </row>
    <row r="135" ht="15.75" customHeight="1">
      <c r="A135" s="4" t="s">
        <v>24</v>
      </c>
      <c r="B135" s="12">
        <v>100.0</v>
      </c>
      <c r="C135" s="16"/>
      <c r="D135" s="16">
        <f t="shared" si="17"/>
        <v>39.05782891</v>
      </c>
      <c r="E135" s="17">
        <f t="shared" si="18"/>
        <v>15.19</v>
      </c>
      <c r="F135" s="11">
        <v>19.99</v>
      </c>
    </row>
    <row r="136" ht="15.75" customHeight="1">
      <c r="A136" s="4" t="s">
        <v>24</v>
      </c>
      <c r="B136" s="12">
        <v>250.0</v>
      </c>
      <c r="C136" s="16"/>
      <c r="D136" s="16">
        <f t="shared" si="17"/>
        <v>38.28644322</v>
      </c>
      <c r="E136" s="17">
        <f t="shared" si="18"/>
        <v>14.89</v>
      </c>
      <c r="F136" s="11">
        <v>19.99</v>
      </c>
    </row>
    <row r="137" ht="15.75" customHeight="1">
      <c r="A137" s="4" t="s">
        <v>24</v>
      </c>
      <c r="B137" s="12">
        <v>500.0</v>
      </c>
      <c r="C137" s="16"/>
      <c r="D137" s="16">
        <f t="shared" si="17"/>
        <v>38.02931466</v>
      </c>
      <c r="E137" s="17">
        <f t="shared" si="18"/>
        <v>14.79</v>
      </c>
      <c r="F137" s="11">
        <v>19.99</v>
      </c>
    </row>
    <row r="138" ht="15.75" customHeight="1">
      <c r="A138" s="12"/>
      <c r="B138" s="12"/>
      <c r="C138" s="14"/>
      <c r="D138" s="14"/>
      <c r="E138" s="17"/>
      <c r="F138" s="11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4" t="s">
        <v>26</v>
      </c>
      <c r="B141" s="24" t="s">
        <v>27</v>
      </c>
      <c r="C141" s="3"/>
      <c r="D141" s="3"/>
      <c r="E141" s="3"/>
    </row>
    <row r="142" ht="15.75" customHeight="1">
      <c r="A142" s="4" t="s">
        <v>26</v>
      </c>
      <c r="B142" s="7" t="s">
        <v>5</v>
      </c>
      <c r="C142" s="3"/>
      <c r="D142" s="3"/>
      <c r="E142" s="3"/>
    </row>
    <row r="143" ht="15.75" customHeight="1">
      <c r="A143" s="4" t="s">
        <v>26</v>
      </c>
      <c r="B143" s="6" t="s">
        <v>28</v>
      </c>
      <c r="C143" s="8" t="s">
        <v>6</v>
      </c>
      <c r="D143" s="9" t="s">
        <v>7</v>
      </c>
      <c r="E143" s="10" t="s">
        <v>8</v>
      </c>
      <c r="F143" s="11" t="s">
        <v>9</v>
      </c>
    </row>
    <row r="144" ht="15.75" customHeight="1">
      <c r="A144" s="4" t="s">
        <v>26</v>
      </c>
      <c r="B144" s="12">
        <v>1.0</v>
      </c>
      <c r="C144" s="19">
        <f>1-E144/D144</f>
        <v>0.7300951427</v>
      </c>
      <c r="D144" s="14">
        <v>19.97</v>
      </c>
      <c r="E144" s="20">
        <v>5.39</v>
      </c>
      <c r="F144" s="11">
        <v>3.99</v>
      </c>
    </row>
    <row r="145" ht="15.75" customHeight="1">
      <c r="A145" s="4" t="s">
        <v>26</v>
      </c>
      <c r="B145" s="12">
        <v>2.0</v>
      </c>
      <c r="C145" s="16"/>
      <c r="D145" s="16">
        <f t="shared" ref="D145:D153" si="19">E145/(1-$C$144)</f>
        <v>19.59949907</v>
      </c>
      <c r="E145" s="17">
        <f t="shared" ref="E145:E153" si="20">CEILING(E144*(1-0.03*LN(B145)/(1+0.03*B145)),0.1)-0.01</f>
        <v>5.29</v>
      </c>
      <c r="F145" s="11">
        <v>4.99</v>
      </c>
    </row>
    <row r="146" ht="15.75" customHeight="1">
      <c r="A146" s="4" t="s">
        <v>26</v>
      </c>
      <c r="B146" s="12">
        <v>3.0</v>
      </c>
      <c r="C146" s="16"/>
      <c r="D146" s="16">
        <f t="shared" si="19"/>
        <v>19.22899814</v>
      </c>
      <c r="E146" s="17">
        <f t="shared" si="20"/>
        <v>5.19</v>
      </c>
      <c r="F146" s="11">
        <v>5.99</v>
      </c>
    </row>
    <row r="147" ht="15.75" customHeight="1">
      <c r="A147" s="4" t="s">
        <v>26</v>
      </c>
      <c r="B147" s="12">
        <v>5.0</v>
      </c>
      <c r="C147" s="16"/>
      <c r="D147" s="16">
        <f t="shared" si="19"/>
        <v>18.48799629</v>
      </c>
      <c r="E147" s="17">
        <f t="shared" si="20"/>
        <v>4.99</v>
      </c>
      <c r="F147" s="11">
        <v>7.99</v>
      </c>
    </row>
    <row r="148" ht="15.75" customHeight="1">
      <c r="A148" s="4" t="s">
        <v>26</v>
      </c>
      <c r="B148" s="12">
        <v>10.0</v>
      </c>
      <c r="C148" s="16"/>
      <c r="D148" s="16">
        <f t="shared" si="19"/>
        <v>17.74699443</v>
      </c>
      <c r="E148" s="17">
        <f t="shared" si="20"/>
        <v>4.79</v>
      </c>
      <c r="F148" s="11">
        <v>12.99</v>
      </c>
    </row>
    <row r="149" ht="15.75" customHeight="1">
      <c r="A149" s="4" t="s">
        <v>26</v>
      </c>
      <c r="B149" s="12">
        <v>25.0</v>
      </c>
      <c r="C149" s="16"/>
      <c r="D149" s="16">
        <f t="shared" si="19"/>
        <v>17.00599258</v>
      </c>
      <c r="E149" s="17">
        <f t="shared" si="20"/>
        <v>4.59</v>
      </c>
      <c r="F149" s="11">
        <v>19.99</v>
      </c>
    </row>
    <row r="150" ht="15.75" customHeight="1">
      <c r="A150" s="4" t="s">
        <v>26</v>
      </c>
      <c r="B150" s="12">
        <v>50.0</v>
      </c>
      <c r="C150" s="16"/>
      <c r="D150" s="16">
        <f t="shared" si="19"/>
        <v>16.26499072</v>
      </c>
      <c r="E150" s="17">
        <f t="shared" si="20"/>
        <v>4.39</v>
      </c>
      <c r="F150" s="11">
        <v>19.99</v>
      </c>
    </row>
    <row r="151" ht="15.75" customHeight="1">
      <c r="A151" s="4" t="s">
        <v>26</v>
      </c>
      <c r="B151" s="12">
        <v>100.0</v>
      </c>
      <c r="C151" s="16"/>
      <c r="D151" s="16">
        <f t="shared" si="19"/>
        <v>15.8944898</v>
      </c>
      <c r="E151" s="17">
        <f t="shared" si="20"/>
        <v>4.29</v>
      </c>
      <c r="F151" s="11">
        <v>19.99</v>
      </c>
    </row>
    <row r="152" ht="15.75" customHeight="1">
      <c r="A152" s="4" t="s">
        <v>26</v>
      </c>
      <c r="B152" s="12">
        <v>250.0</v>
      </c>
      <c r="C152" s="16"/>
      <c r="D152" s="16">
        <f t="shared" si="19"/>
        <v>15.8944898</v>
      </c>
      <c r="E152" s="17">
        <f t="shared" si="20"/>
        <v>4.29</v>
      </c>
      <c r="F152" s="11">
        <v>19.99</v>
      </c>
    </row>
    <row r="153" ht="15.75" customHeight="1">
      <c r="A153" s="4" t="s">
        <v>26</v>
      </c>
      <c r="B153" s="12">
        <v>500.0</v>
      </c>
      <c r="C153" s="16"/>
      <c r="D153" s="16">
        <f t="shared" si="19"/>
        <v>15.8944898</v>
      </c>
      <c r="E153" s="17">
        <f t="shared" si="20"/>
        <v>4.29</v>
      </c>
      <c r="F153" s="11">
        <v>19.99</v>
      </c>
    </row>
    <row r="154" ht="15.75" customHeight="1">
      <c r="A154" s="12"/>
      <c r="B154" s="12"/>
      <c r="C154" s="14"/>
      <c r="D154" s="14"/>
      <c r="E154" s="17"/>
      <c r="F154" s="11"/>
    </row>
    <row r="155" ht="15.75" customHeight="1">
      <c r="A155" s="21"/>
      <c r="B155" s="21"/>
      <c r="C155" s="21"/>
      <c r="D155" s="21"/>
      <c r="E155" s="3"/>
    </row>
    <row r="156" ht="15.75" customHeight="1">
      <c r="A156" s="21"/>
      <c r="B156" s="21"/>
      <c r="C156" s="21"/>
      <c r="D156" s="21"/>
      <c r="E156" s="3"/>
    </row>
    <row r="157" ht="15.75" customHeight="1">
      <c r="A157" s="4" t="s">
        <v>29</v>
      </c>
      <c r="B157" s="6" t="s">
        <v>30</v>
      </c>
      <c r="C157" s="21"/>
      <c r="D157" s="21"/>
      <c r="E157" s="3"/>
    </row>
    <row r="158" ht="15.75" customHeight="1">
      <c r="A158" s="4" t="s">
        <v>29</v>
      </c>
      <c r="B158" s="7" t="s">
        <v>5</v>
      </c>
      <c r="C158" s="8" t="s">
        <v>6</v>
      </c>
      <c r="D158" s="9" t="s">
        <v>7</v>
      </c>
      <c r="E158" s="10" t="s">
        <v>8</v>
      </c>
      <c r="F158" s="11" t="s">
        <v>9</v>
      </c>
    </row>
    <row r="159" ht="15.75" customHeight="1">
      <c r="A159" s="4" t="s">
        <v>29</v>
      </c>
      <c r="B159" s="12">
        <v>1.0</v>
      </c>
      <c r="C159" s="13">
        <f>1-E159/D159</f>
        <v>0.6181528662</v>
      </c>
      <c r="D159" s="14">
        <v>31.4</v>
      </c>
      <c r="E159" s="15">
        <v>11.99</v>
      </c>
      <c r="F159" s="11">
        <v>5.99</v>
      </c>
    </row>
    <row r="160" ht="15.75" customHeight="1">
      <c r="A160" s="4" t="s">
        <v>29</v>
      </c>
      <c r="B160" s="12">
        <v>2.0</v>
      </c>
      <c r="C160" s="16"/>
      <c r="D160" s="16">
        <f t="shared" ref="D160:D168" si="21">E160/(1-$C$159)</f>
        <v>30.87623019</v>
      </c>
      <c r="E160" s="17">
        <f t="shared" ref="E160:E168" si="22">CEILING(E159*(1-0.03*LN(B160)/(1+0.03*B160)),0.1)-0.01</f>
        <v>11.79</v>
      </c>
      <c r="F160" s="11">
        <v>6.99</v>
      </c>
    </row>
    <row r="161" ht="15.75" customHeight="1">
      <c r="A161" s="4" t="s">
        <v>29</v>
      </c>
      <c r="B161" s="12">
        <v>3.0</v>
      </c>
      <c r="C161" s="16"/>
      <c r="D161" s="16">
        <f t="shared" si="21"/>
        <v>30.09057548</v>
      </c>
      <c r="E161" s="17">
        <f t="shared" si="22"/>
        <v>11.49</v>
      </c>
      <c r="F161" s="11">
        <v>7.99</v>
      </c>
    </row>
    <row r="162" ht="15.75" customHeight="1">
      <c r="A162" s="4" t="s">
        <v>29</v>
      </c>
      <c r="B162" s="12">
        <v>5.0</v>
      </c>
      <c r="C162" s="16"/>
      <c r="D162" s="16">
        <f t="shared" si="21"/>
        <v>29.04303586</v>
      </c>
      <c r="E162" s="17">
        <f t="shared" si="22"/>
        <v>11.09</v>
      </c>
      <c r="F162" s="11">
        <v>9.99</v>
      </c>
    </row>
    <row r="163" ht="15.75" customHeight="1">
      <c r="A163" s="4" t="s">
        <v>29</v>
      </c>
      <c r="B163" s="12">
        <v>10.0</v>
      </c>
      <c r="C163" s="16"/>
      <c r="D163" s="16">
        <f t="shared" si="21"/>
        <v>27.73361134</v>
      </c>
      <c r="E163" s="17">
        <f t="shared" si="22"/>
        <v>10.59</v>
      </c>
      <c r="F163" s="11">
        <v>14.99</v>
      </c>
    </row>
    <row r="164" ht="15.75" customHeight="1">
      <c r="A164" s="4" t="s">
        <v>29</v>
      </c>
      <c r="B164" s="12">
        <v>25.0</v>
      </c>
      <c r="C164" s="16"/>
      <c r="D164" s="16">
        <f t="shared" si="21"/>
        <v>26.42418682</v>
      </c>
      <c r="E164" s="17">
        <f t="shared" si="22"/>
        <v>10.09</v>
      </c>
      <c r="F164" s="11">
        <v>14.99</v>
      </c>
    </row>
    <row r="165" ht="15.75" customHeight="1">
      <c r="A165" s="4" t="s">
        <v>29</v>
      </c>
      <c r="B165" s="12">
        <v>50.0</v>
      </c>
      <c r="C165" s="16"/>
      <c r="D165" s="16">
        <f t="shared" si="21"/>
        <v>25.37664721</v>
      </c>
      <c r="E165" s="17">
        <f t="shared" si="22"/>
        <v>9.69</v>
      </c>
      <c r="F165" s="11">
        <v>19.99</v>
      </c>
    </row>
    <row r="166" ht="15.75" customHeight="1">
      <c r="A166" s="4" t="s">
        <v>29</v>
      </c>
      <c r="B166" s="12">
        <v>100.0</v>
      </c>
      <c r="C166" s="16"/>
      <c r="D166" s="16">
        <f t="shared" si="21"/>
        <v>24.59099249</v>
      </c>
      <c r="E166" s="17">
        <f t="shared" si="22"/>
        <v>9.39</v>
      </c>
      <c r="F166" s="11">
        <v>19.99</v>
      </c>
    </row>
    <row r="167" ht="15.75" customHeight="1">
      <c r="A167" s="4" t="s">
        <v>29</v>
      </c>
      <c r="B167" s="12">
        <v>250.0</v>
      </c>
      <c r="C167" s="16"/>
      <c r="D167" s="16">
        <f t="shared" si="21"/>
        <v>24.32910759</v>
      </c>
      <c r="E167" s="17">
        <f t="shared" si="22"/>
        <v>9.29</v>
      </c>
      <c r="F167" s="11">
        <v>19.99</v>
      </c>
    </row>
    <row r="168" ht="15.75" customHeight="1">
      <c r="A168" s="4" t="s">
        <v>29</v>
      </c>
      <c r="B168" s="12">
        <v>500.0</v>
      </c>
      <c r="C168" s="16"/>
      <c r="D168" s="16">
        <f t="shared" si="21"/>
        <v>24.06722269</v>
      </c>
      <c r="E168" s="17">
        <f t="shared" si="22"/>
        <v>9.19</v>
      </c>
      <c r="F168" s="11">
        <v>19.99</v>
      </c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31</v>
      </c>
      <c r="B1" s="25" t="s">
        <v>32</v>
      </c>
      <c r="C1" s="25" t="s">
        <v>33</v>
      </c>
    </row>
    <row r="2">
      <c r="A2" s="25" t="s">
        <v>2</v>
      </c>
      <c r="B2" s="26">
        <v>1.0</v>
      </c>
      <c r="C2" s="26">
        <v>15.95</v>
      </c>
    </row>
    <row r="3">
      <c r="A3" s="25" t="s">
        <v>2</v>
      </c>
      <c r="B3" s="26">
        <v>2.0</v>
      </c>
      <c r="C3" s="26">
        <v>15.64</v>
      </c>
    </row>
    <row r="4">
      <c r="A4" s="25" t="s">
        <v>2</v>
      </c>
      <c r="B4" s="26">
        <v>3.0</v>
      </c>
      <c r="C4" s="26">
        <v>15.16</v>
      </c>
    </row>
    <row r="5">
      <c r="A5" s="25" t="s">
        <v>2</v>
      </c>
      <c r="B5" s="26">
        <v>5.0</v>
      </c>
      <c r="C5" s="26">
        <v>14.53</v>
      </c>
    </row>
    <row r="6">
      <c r="A6" s="25" t="s">
        <v>2</v>
      </c>
      <c r="B6" s="26">
        <v>10.0</v>
      </c>
      <c r="C6" s="26">
        <v>13.76</v>
      </c>
    </row>
    <row r="7">
      <c r="A7" s="25" t="s">
        <v>2</v>
      </c>
      <c r="B7" s="26">
        <v>25.0</v>
      </c>
      <c r="C7" s="26">
        <v>13.0</v>
      </c>
    </row>
    <row r="8">
      <c r="A8" s="25" t="s">
        <v>2</v>
      </c>
      <c r="B8" s="26">
        <v>50.0</v>
      </c>
      <c r="C8" s="26">
        <v>12.39</v>
      </c>
    </row>
    <row r="9">
      <c r="A9" s="25" t="s">
        <v>2</v>
      </c>
      <c r="B9" s="26">
        <v>100.0</v>
      </c>
      <c r="C9" s="26">
        <v>11.96</v>
      </c>
    </row>
    <row r="10">
      <c r="A10" s="25" t="s">
        <v>2</v>
      </c>
      <c r="B10" s="26">
        <v>250.0</v>
      </c>
      <c r="C10" s="26">
        <v>11.73</v>
      </c>
    </row>
    <row r="11">
      <c r="A11" s="25" t="s">
        <v>2</v>
      </c>
      <c r="B11" s="26">
        <v>500.0</v>
      </c>
      <c r="C11" s="26">
        <v>11.59</v>
      </c>
    </row>
    <row r="12">
      <c r="A12" s="25" t="s">
        <v>10</v>
      </c>
      <c r="B12" s="26">
        <v>1.0</v>
      </c>
      <c r="C12" s="26">
        <v>23.3</v>
      </c>
    </row>
    <row r="13">
      <c r="A13" s="25" t="s">
        <v>10</v>
      </c>
      <c r="B13" s="26">
        <v>2.0</v>
      </c>
      <c r="C13" s="26">
        <v>22.82</v>
      </c>
    </row>
    <row r="14">
      <c r="A14" s="25" t="s">
        <v>10</v>
      </c>
      <c r="B14" s="26">
        <v>3.0</v>
      </c>
      <c r="C14" s="26">
        <v>22.09</v>
      </c>
    </row>
    <row r="15">
      <c r="A15" s="25" t="s">
        <v>10</v>
      </c>
      <c r="B15" s="26">
        <v>5.0</v>
      </c>
      <c r="C15" s="26">
        <v>21.08</v>
      </c>
    </row>
    <row r="16">
      <c r="A16" s="25" t="s">
        <v>10</v>
      </c>
      <c r="B16" s="26">
        <v>10.0</v>
      </c>
      <c r="C16" s="26">
        <v>19.75</v>
      </c>
    </row>
    <row r="17">
      <c r="A17" s="25" t="s">
        <v>10</v>
      </c>
      <c r="B17" s="26">
        <v>25.0</v>
      </c>
      <c r="C17" s="26">
        <v>18.23</v>
      </c>
    </row>
    <row r="18">
      <c r="A18" s="25" t="s">
        <v>10</v>
      </c>
      <c r="B18" s="26">
        <v>50.0</v>
      </c>
      <c r="C18" s="26">
        <v>16.8</v>
      </c>
    </row>
    <row r="19">
      <c r="A19" s="25" t="s">
        <v>10</v>
      </c>
      <c r="B19" s="26">
        <v>100.0</v>
      </c>
      <c r="C19" s="26">
        <v>15.64</v>
      </c>
    </row>
    <row r="20">
      <c r="A20" s="25" t="s">
        <v>10</v>
      </c>
      <c r="B20" s="26">
        <v>250.0</v>
      </c>
      <c r="C20" s="26">
        <v>14.9</v>
      </c>
    </row>
    <row r="21">
      <c r="A21" s="25" t="s">
        <v>10</v>
      </c>
      <c r="B21" s="26">
        <v>500.0</v>
      </c>
      <c r="C21" s="26">
        <v>14.44</v>
      </c>
    </row>
    <row r="22">
      <c r="A22" s="25" t="s">
        <v>12</v>
      </c>
      <c r="B22" s="26">
        <v>1.0</v>
      </c>
      <c r="C22" s="26">
        <v>39.97</v>
      </c>
    </row>
    <row r="23">
      <c r="A23" s="25" t="s">
        <v>12</v>
      </c>
      <c r="B23" s="26">
        <v>2.0</v>
      </c>
      <c r="C23" s="26">
        <v>39.16</v>
      </c>
    </row>
    <row r="24">
      <c r="A24" s="25" t="s">
        <v>12</v>
      </c>
      <c r="B24" s="26">
        <v>3.0</v>
      </c>
      <c r="C24" s="26">
        <v>37.9</v>
      </c>
    </row>
    <row r="25">
      <c r="A25" s="25" t="s">
        <v>12</v>
      </c>
      <c r="B25" s="26">
        <v>5.0</v>
      </c>
      <c r="C25" s="26">
        <v>36.16</v>
      </c>
    </row>
    <row r="26">
      <c r="A26" s="25" t="s">
        <v>12</v>
      </c>
      <c r="B26" s="26">
        <v>10.0</v>
      </c>
      <c r="C26" s="26">
        <v>33.89</v>
      </c>
    </row>
    <row r="27">
      <c r="A27" s="25" t="s">
        <v>12</v>
      </c>
      <c r="B27" s="26">
        <v>25.0</v>
      </c>
      <c r="C27" s="26">
        <v>31.27</v>
      </c>
    </row>
    <row r="28">
      <c r="A28" s="25" t="s">
        <v>12</v>
      </c>
      <c r="B28" s="26">
        <v>50.0</v>
      </c>
      <c r="C28" s="26">
        <v>28.82</v>
      </c>
    </row>
    <row r="29">
      <c r="A29" s="25" t="s">
        <v>12</v>
      </c>
      <c r="B29" s="26">
        <v>100.0</v>
      </c>
      <c r="C29" s="26">
        <v>26.83</v>
      </c>
    </row>
    <row r="30">
      <c r="A30" s="25" t="s">
        <v>12</v>
      </c>
      <c r="B30" s="26">
        <v>250.0</v>
      </c>
      <c r="C30" s="26">
        <v>25.56</v>
      </c>
    </row>
    <row r="31">
      <c r="A31" s="25" t="s">
        <v>12</v>
      </c>
      <c r="B31" s="26">
        <v>500.0</v>
      </c>
      <c r="C31" s="26">
        <v>24.77</v>
      </c>
    </row>
    <row r="32">
      <c r="A32" s="25" t="s">
        <v>14</v>
      </c>
      <c r="B32" s="26">
        <v>1.0</v>
      </c>
      <c r="C32" s="26">
        <v>19.95</v>
      </c>
    </row>
    <row r="33">
      <c r="A33" s="25" t="s">
        <v>14</v>
      </c>
      <c r="B33" s="26">
        <v>2.0</v>
      </c>
      <c r="C33" s="26">
        <v>19.54</v>
      </c>
    </row>
    <row r="34">
      <c r="A34" s="25" t="s">
        <v>14</v>
      </c>
      <c r="B34" s="26">
        <v>3.0</v>
      </c>
      <c r="C34" s="26">
        <v>18.92</v>
      </c>
    </row>
    <row r="35">
      <c r="A35" s="25" t="s">
        <v>14</v>
      </c>
      <c r="B35" s="26">
        <v>5.0</v>
      </c>
      <c r="C35" s="26">
        <v>18.05</v>
      </c>
    </row>
    <row r="36">
      <c r="A36" s="25" t="s">
        <v>14</v>
      </c>
      <c r="B36" s="26">
        <v>10.0</v>
      </c>
      <c r="C36" s="26">
        <v>16.91</v>
      </c>
    </row>
    <row r="37">
      <c r="A37" s="25" t="s">
        <v>14</v>
      </c>
      <c r="B37" s="26">
        <v>25.0</v>
      </c>
      <c r="C37" s="26">
        <v>15.61</v>
      </c>
    </row>
    <row r="38">
      <c r="A38" s="25" t="s">
        <v>14</v>
      </c>
      <c r="B38" s="26">
        <v>50.0</v>
      </c>
      <c r="C38" s="26">
        <v>14.39</v>
      </c>
    </row>
    <row r="39">
      <c r="A39" s="25" t="s">
        <v>14</v>
      </c>
      <c r="B39" s="26">
        <v>100.0</v>
      </c>
      <c r="C39" s="26">
        <v>13.39</v>
      </c>
    </row>
    <row r="40">
      <c r="A40" s="25" t="s">
        <v>14</v>
      </c>
      <c r="B40" s="26">
        <v>250.0</v>
      </c>
      <c r="C40" s="26">
        <v>12.76</v>
      </c>
    </row>
    <row r="41">
      <c r="A41" s="25" t="s">
        <v>14</v>
      </c>
      <c r="B41" s="26">
        <v>500.0</v>
      </c>
      <c r="C41" s="26">
        <v>12.36</v>
      </c>
    </row>
    <row r="42">
      <c r="A42" s="25" t="s">
        <v>16</v>
      </c>
      <c r="B42" s="26">
        <v>1.0</v>
      </c>
      <c r="C42" s="26">
        <v>29.95</v>
      </c>
    </row>
    <row r="43">
      <c r="A43" s="25" t="s">
        <v>16</v>
      </c>
      <c r="B43" s="26">
        <v>2.0</v>
      </c>
      <c r="C43" s="26">
        <v>29.34</v>
      </c>
    </row>
    <row r="44">
      <c r="A44" s="25" t="s">
        <v>16</v>
      </c>
      <c r="B44" s="26">
        <v>3.0</v>
      </c>
      <c r="C44" s="26">
        <v>28.4</v>
      </c>
    </row>
    <row r="45">
      <c r="A45" s="25" t="s">
        <v>16</v>
      </c>
      <c r="B45" s="26">
        <v>5.0</v>
      </c>
      <c r="C45" s="26">
        <v>27.09</v>
      </c>
    </row>
    <row r="46">
      <c r="A46" s="25" t="s">
        <v>16</v>
      </c>
      <c r="B46" s="26">
        <v>10.0</v>
      </c>
      <c r="C46" s="26">
        <v>25.39</v>
      </c>
    </row>
    <row r="47">
      <c r="A47" s="25" t="s">
        <v>16</v>
      </c>
      <c r="B47" s="26">
        <v>25.0</v>
      </c>
      <c r="C47" s="26">
        <v>23.43</v>
      </c>
    </row>
    <row r="48">
      <c r="A48" s="25" t="s">
        <v>16</v>
      </c>
      <c r="B48" s="26">
        <v>50.0</v>
      </c>
      <c r="C48" s="26">
        <v>21.6</v>
      </c>
    </row>
    <row r="49">
      <c r="A49" s="25" t="s">
        <v>16</v>
      </c>
      <c r="B49" s="26">
        <v>100.0</v>
      </c>
      <c r="C49" s="26">
        <v>20.11</v>
      </c>
    </row>
    <row r="50">
      <c r="A50" s="25" t="s">
        <v>16</v>
      </c>
      <c r="B50" s="26">
        <v>250.0</v>
      </c>
      <c r="C50" s="26">
        <v>19.15</v>
      </c>
    </row>
    <row r="51">
      <c r="A51" s="25" t="s">
        <v>16</v>
      </c>
      <c r="B51" s="26">
        <v>500.0</v>
      </c>
      <c r="C51" s="26">
        <v>18.56</v>
      </c>
    </row>
    <row r="52">
      <c r="A52" s="25" t="s">
        <v>18</v>
      </c>
      <c r="B52" s="26">
        <v>1.0</v>
      </c>
      <c r="C52" s="26">
        <v>49.95</v>
      </c>
    </row>
    <row r="53">
      <c r="A53" s="25" t="s">
        <v>18</v>
      </c>
      <c r="B53" s="26">
        <v>2.0</v>
      </c>
      <c r="C53" s="26">
        <v>48.93</v>
      </c>
    </row>
    <row r="54">
      <c r="A54" s="25" t="s">
        <v>18</v>
      </c>
      <c r="B54" s="26">
        <v>3.0</v>
      </c>
      <c r="C54" s="26">
        <v>47.37</v>
      </c>
    </row>
    <row r="55">
      <c r="A55" s="25" t="s">
        <v>18</v>
      </c>
      <c r="B55" s="26">
        <v>5.0</v>
      </c>
      <c r="C55" s="26">
        <v>45.19</v>
      </c>
    </row>
    <row r="56">
      <c r="A56" s="25" t="s">
        <v>18</v>
      </c>
      <c r="B56" s="26">
        <v>10.0</v>
      </c>
      <c r="C56" s="26">
        <v>42.35</v>
      </c>
    </row>
    <row r="57">
      <c r="A57" s="25" t="s">
        <v>18</v>
      </c>
      <c r="B57" s="26">
        <v>25.0</v>
      </c>
      <c r="C57" s="26">
        <v>39.08</v>
      </c>
    </row>
    <row r="58">
      <c r="A58" s="25" t="s">
        <v>18</v>
      </c>
      <c r="B58" s="26">
        <v>50.0</v>
      </c>
      <c r="C58" s="26">
        <v>36.02</v>
      </c>
    </row>
    <row r="59">
      <c r="A59" s="25" t="s">
        <v>18</v>
      </c>
      <c r="B59" s="26">
        <v>100.0</v>
      </c>
      <c r="C59" s="26">
        <v>33.53</v>
      </c>
    </row>
    <row r="60">
      <c r="A60" s="25" t="s">
        <v>18</v>
      </c>
      <c r="B60" s="26">
        <v>250.0</v>
      </c>
      <c r="C60" s="26">
        <v>31.95</v>
      </c>
    </row>
    <row r="61">
      <c r="A61" s="25" t="s">
        <v>18</v>
      </c>
      <c r="B61" s="26">
        <v>500.0</v>
      </c>
      <c r="C61" s="26">
        <v>30.95</v>
      </c>
    </row>
    <row r="62">
      <c r="A62" s="25" t="s">
        <v>19</v>
      </c>
      <c r="B62" s="26">
        <v>1.0</v>
      </c>
      <c r="C62" s="26">
        <v>28.54</v>
      </c>
    </row>
    <row r="63">
      <c r="A63" s="25" t="s">
        <v>19</v>
      </c>
      <c r="B63" s="26">
        <v>2.0</v>
      </c>
      <c r="C63" s="26">
        <v>27.96</v>
      </c>
    </row>
    <row r="64">
      <c r="A64" s="25" t="s">
        <v>19</v>
      </c>
      <c r="B64" s="26">
        <v>3.0</v>
      </c>
      <c r="C64" s="26">
        <v>27.06</v>
      </c>
    </row>
    <row r="65">
      <c r="A65" s="25" t="s">
        <v>19</v>
      </c>
      <c r="B65" s="26">
        <v>5.0</v>
      </c>
      <c r="C65" s="26">
        <v>25.82</v>
      </c>
    </row>
    <row r="66">
      <c r="A66" s="25" t="s">
        <v>19</v>
      </c>
      <c r="B66" s="26">
        <v>10.0</v>
      </c>
      <c r="C66" s="26">
        <v>24.2</v>
      </c>
    </row>
    <row r="67">
      <c r="A67" s="25" t="s">
        <v>19</v>
      </c>
      <c r="B67" s="26">
        <v>25.0</v>
      </c>
      <c r="C67" s="26">
        <v>22.33</v>
      </c>
    </row>
    <row r="68">
      <c r="A68" s="25" t="s">
        <v>19</v>
      </c>
      <c r="B68" s="26">
        <v>50.0</v>
      </c>
      <c r="C68" s="26">
        <v>20.58</v>
      </c>
    </row>
    <row r="69">
      <c r="A69" s="25" t="s">
        <v>19</v>
      </c>
      <c r="B69" s="26">
        <v>100.0</v>
      </c>
      <c r="C69" s="26">
        <v>19.16</v>
      </c>
    </row>
    <row r="70">
      <c r="A70" s="25" t="s">
        <v>19</v>
      </c>
      <c r="B70" s="26">
        <v>250.0</v>
      </c>
      <c r="C70" s="26">
        <v>18.25</v>
      </c>
    </row>
    <row r="71">
      <c r="A71" s="25" t="s">
        <v>19</v>
      </c>
      <c r="B71" s="26">
        <v>500.0</v>
      </c>
      <c r="C71" s="26">
        <v>17.69</v>
      </c>
    </row>
    <row r="72">
      <c r="A72" s="25" t="s">
        <v>22</v>
      </c>
      <c r="B72" s="26">
        <v>1.0</v>
      </c>
      <c r="C72" s="26">
        <v>34.26</v>
      </c>
    </row>
    <row r="73">
      <c r="A73" s="25" t="s">
        <v>22</v>
      </c>
      <c r="B73" s="26">
        <v>2.0</v>
      </c>
      <c r="C73" s="26">
        <v>33.56</v>
      </c>
    </row>
    <row r="74">
      <c r="A74" s="25" t="s">
        <v>22</v>
      </c>
      <c r="B74" s="26">
        <v>3.0</v>
      </c>
      <c r="C74" s="26">
        <v>32.49</v>
      </c>
    </row>
    <row r="75">
      <c r="A75" s="25" t="s">
        <v>22</v>
      </c>
      <c r="B75" s="26">
        <v>5.0</v>
      </c>
      <c r="C75" s="26">
        <v>30.99</v>
      </c>
    </row>
    <row r="76">
      <c r="A76" s="25" t="s">
        <v>22</v>
      </c>
      <c r="B76" s="26">
        <v>10.0</v>
      </c>
      <c r="C76" s="26">
        <v>29.05</v>
      </c>
    </row>
    <row r="77">
      <c r="A77" s="25" t="s">
        <v>22</v>
      </c>
      <c r="B77" s="26">
        <v>25.0</v>
      </c>
      <c r="C77" s="26">
        <v>26.8</v>
      </c>
    </row>
    <row r="78">
      <c r="A78" s="25" t="s">
        <v>22</v>
      </c>
      <c r="B78" s="26">
        <v>50.0</v>
      </c>
      <c r="C78" s="26">
        <v>24.71</v>
      </c>
    </row>
    <row r="79">
      <c r="A79" s="25" t="s">
        <v>22</v>
      </c>
      <c r="B79" s="26">
        <v>100.0</v>
      </c>
      <c r="C79" s="26">
        <v>23.0</v>
      </c>
    </row>
    <row r="80">
      <c r="A80" s="25" t="s">
        <v>22</v>
      </c>
      <c r="B80" s="26">
        <v>250.0</v>
      </c>
      <c r="C80" s="26">
        <v>21.91</v>
      </c>
    </row>
    <row r="81">
      <c r="A81" s="25" t="s">
        <v>22</v>
      </c>
      <c r="B81" s="26">
        <v>500.0</v>
      </c>
      <c r="C81" s="26">
        <v>21.23</v>
      </c>
    </row>
    <row r="82">
      <c r="A82" s="25" t="s">
        <v>24</v>
      </c>
      <c r="B82" s="26">
        <v>1.0</v>
      </c>
      <c r="C82" s="26">
        <v>51.4</v>
      </c>
    </row>
    <row r="83">
      <c r="A83" s="25" t="s">
        <v>24</v>
      </c>
      <c r="B83" s="26">
        <v>2.0</v>
      </c>
      <c r="C83" s="26">
        <v>50.35</v>
      </c>
    </row>
    <row r="84">
      <c r="A84" s="25" t="s">
        <v>24</v>
      </c>
      <c r="B84" s="26">
        <v>3.0</v>
      </c>
      <c r="C84" s="26">
        <v>48.74</v>
      </c>
    </row>
    <row r="85">
      <c r="A85" s="25" t="s">
        <v>24</v>
      </c>
      <c r="B85" s="26">
        <v>5.0</v>
      </c>
      <c r="C85" s="26">
        <v>46.5</v>
      </c>
    </row>
    <row r="86">
      <c r="A86" s="25" t="s">
        <v>24</v>
      </c>
      <c r="B86" s="26">
        <v>10.0</v>
      </c>
      <c r="C86" s="26">
        <v>43.58</v>
      </c>
    </row>
    <row r="87">
      <c r="A87" s="25" t="s">
        <v>24</v>
      </c>
      <c r="B87" s="26">
        <v>25.0</v>
      </c>
      <c r="C87" s="26">
        <v>40.21</v>
      </c>
    </row>
    <row r="88">
      <c r="A88" s="25" t="s">
        <v>24</v>
      </c>
      <c r="B88" s="26">
        <v>50.0</v>
      </c>
      <c r="C88" s="26">
        <v>37.07</v>
      </c>
    </row>
    <row r="89">
      <c r="A89" s="25" t="s">
        <v>24</v>
      </c>
      <c r="B89" s="26">
        <v>100.0</v>
      </c>
      <c r="C89" s="26">
        <v>34.51</v>
      </c>
    </row>
    <row r="90">
      <c r="A90" s="25" t="s">
        <v>24</v>
      </c>
      <c r="B90" s="26">
        <v>250.0</v>
      </c>
      <c r="C90" s="26">
        <v>32.87</v>
      </c>
    </row>
    <row r="91">
      <c r="A91" s="25" t="s">
        <v>24</v>
      </c>
      <c r="B91" s="26">
        <v>500.0</v>
      </c>
      <c r="C91" s="26">
        <v>31.85</v>
      </c>
    </row>
    <row r="92">
      <c r="A92" s="25" t="s">
        <v>26</v>
      </c>
      <c r="B92" s="26">
        <v>1.0</v>
      </c>
      <c r="C92" s="26">
        <v>19.97</v>
      </c>
    </row>
    <row r="93">
      <c r="A93" s="25" t="s">
        <v>26</v>
      </c>
      <c r="B93" s="26">
        <v>2.0</v>
      </c>
      <c r="C93" s="26">
        <v>19.58</v>
      </c>
    </row>
    <row r="94">
      <c r="A94" s="25" t="s">
        <v>26</v>
      </c>
      <c r="B94" s="26">
        <v>3.0</v>
      </c>
      <c r="C94" s="26">
        <v>18.99</v>
      </c>
    </row>
    <row r="95">
      <c r="A95" s="25" t="s">
        <v>26</v>
      </c>
      <c r="B95" s="26">
        <v>5.0</v>
      </c>
      <c r="C95" s="26">
        <v>18.19</v>
      </c>
    </row>
    <row r="96">
      <c r="A96" s="25" t="s">
        <v>26</v>
      </c>
      <c r="B96" s="26">
        <v>10.0</v>
      </c>
      <c r="C96" s="26">
        <v>17.22</v>
      </c>
    </row>
    <row r="97">
      <c r="A97" s="25" t="s">
        <v>26</v>
      </c>
      <c r="B97" s="26">
        <v>25.0</v>
      </c>
      <c r="C97" s="26">
        <v>16.27</v>
      </c>
    </row>
    <row r="98">
      <c r="A98" s="25" t="s">
        <v>26</v>
      </c>
      <c r="B98" s="26">
        <v>50.0</v>
      </c>
      <c r="C98" s="26">
        <v>15.51</v>
      </c>
    </row>
    <row r="99">
      <c r="A99" s="25" t="s">
        <v>26</v>
      </c>
      <c r="B99" s="26">
        <v>100.0</v>
      </c>
      <c r="C99" s="26">
        <v>14.97</v>
      </c>
    </row>
    <row r="100">
      <c r="A100" s="25" t="s">
        <v>26</v>
      </c>
      <c r="B100" s="26">
        <v>250.0</v>
      </c>
      <c r="C100" s="26">
        <v>14.68</v>
      </c>
    </row>
    <row r="101">
      <c r="A101" s="25" t="s">
        <v>26</v>
      </c>
      <c r="B101" s="26">
        <v>500.0</v>
      </c>
      <c r="C101" s="26">
        <v>14.51</v>
      </c>
    </row>
    <row r="102">
      <c r="A102" s="25" t="s">
        <v>29</v>
      </c>
      <c r="B102" s="26">
        <v>1.0</v>
      </c>
      <c r="C102" s="26">
        <v>31.4</v>
      </c>
    </row>
    <row r="103">
      <c r="A103" s="25" t="s">
        <v>29</v>
      </c>
      <c r="B103" s="26">
        <v>2.0</v>
      </c>
      <c r="C103" s="26">
        <v>30.78</v>
      </c>
    </row>
    <row r="104">
      <c r="A104" s="25" t="s">
        <v>29</v>
      </c>
      <c r="B104" s="26">
        <v>3.0</v>
      </c>
      <c r="C104" s="26">
        <v>29.85</v>
      </c>
    </row>
    <row r="105">
      <c r="A105" s="25" t="s">
        <v>29</v>
      </c>
      <c r="B105" s="26">
        <v>5.0</v>
      </c>
      <c r="C105" s="26">
        <v>28.6</v>
      </c>
    </row>
    <row r="106">
      <c r="A106" s="25" t="s">
        <v>29</v>
      </c>
      <c r="B106" s="26">
        <v>10.0</v>
      </c>
      <c r="C106" s="26">
        <v>27.08</v>
      </c>
    </row>
    <row r="107">
      <c r="A107" s="25" t="s">
        <v>29</v>
      </c>
      <c r="B107" s="26">
        <v>25.0</v>
      </c>
      <c r="C107" s="26">
        <v>25.59</v>
      </c>
    </row>
    <row r="108">
      <c r="A108" s="25" t="s">
        <v>29</v>
      </c>
      <c r="B108" s="26">
        <v>50.0</v>
      </c>
      <c r="C108" s="26">
        <v>24.38</v>
      </c>
    </row>
    <row r="109">
      <c r="A109" s="25" t="s">
        <v>29</v>
      </c>
      <c r="B109" s="26">
        <v>100.0</v>
      </c>
      <c r="C109" s="26">
        <v>23.54</v>
      </c>
    </row>
    <row r="110">
      <c r="A110" s="25" t="s">
        <v>29</v>
      </c>
      <c r="B110" s="26">
        <v>250.0</v>
      </c>
      <c r="C110" s="26">
        <v>23.08</v>
      </c>
    </row>
    <row r="111">
      <c r="A111" s="25" t="s">
        <v>29</v>
      </c>
      <c r="B111" s="26">
        <v>500.0</v>
      </c>
      <c r="C111" s="26">
        <v>22.81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</cols>
  <sheetData>
    <row r="1">
      <c r="A1" s="25" t="s">
        <v>31</v>
      </c>
      <c r="B1" s="25" t="s">
        <v>34</v>
      </c>
    </row>
    <row r="2">
      <c r="A2" s="25" t="s">
        <v>2</v>
      </c>
      <c r="B2" s="27" t="s">
        <v>35</v>
      </c>
    </row>
    <row r="3">
      <c r="A3" s="25" t="s">
        <v>10</v>
      </c>
      <c r="B3" s="27" t="s">
        <v>36</v>
      </c>
    </row>
    <row r="4">
      <c r="A4" s="25" t="s">
        <v>12</v>
      </c>
      <c r="B4" s="27" t="s">
        <v>37</v>
      </c>
    </row>
    <row r="5">
      <c r="A5" s="25" t="s">
        <v>14</v>
      </c>
      <c r="B5" s="27" t="s">
        <v>38</v>
      </c>
    </row>
    <row r="6">
      <c r="A6" s="25" t="s">
        <v>16</v>
      </c>
      <c r="B6" s="27" t="s">
        <v>39</v>
      </c>
    </row>
    <row r="7">
      <c r="A7" s="25" t="s">
        <v>18</v>
      </c>
      <c r="B7" s="27" t="s">
        <v>40</v>
      </c>
    </row>
    <row r="8">
      <c r="A8" s="25" t="s">
        <v>19</v>
      </c>
      <c r="B8" s="27" t="s">
        <v>41</v>
      </c>
    </row>
    <row r="9">
      <c r="A9" s="25" t="s">
        <v>22</v>
      </c>
      <c r="B9" s="27" t="s">
        <v>42</v>
      </c>
    </row>
    <row r="10">
      <c r="A10" s="25" t="s">
        <v>24</v>
      </c>
      <c r="B10" s="27" t="s">
        <v>43</v>
      </c>
    </row>
    <row r="11">
      <c r="A11" s="25" t="s">
        <v>26</v>
      </c>
      <c r="B11" s="27" t="s">
        <v>44</v>
      </c>
    </row>
    <row r="12">
      <c r="A12" s="25" t="s">
        <v>29</v>
      </c>
      <c r="B12" s="27" t="s">
        <v>45</v>
      </c>
    </row>
  </sheetData>
  <drawing r:id="rId1"/>
</worksheet>
</file>